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ignacio\norm-guided-rl\"/>
    </mc:Choice>
  </mc:AlternateContent>
  <xr:revisionPtr revIDLastSave="0" documentId="13_ncr:1_{515BBC07-B46B-4573-AB63-03292FCFFB19}" xr6:coauthVersionLast="47" xr6:coauthVersionMax="47" xr10:uidLastSave="{00000000-0000-0000-0000-000000000000}"/>
  <bookViews>
    <workbookView xWindow="-108" yWindow="-108" windowWidth="23256" windowHeight="13896" xr2:uid="{8E1EDD2D-89AD-4953-AAF4-B5D90963DF97}"/>
  </bookViews>
  <sheets>
    <sheet name="gardener" sheetId="1" r:id="rId1"/>
    <sheet name="sum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44" i="1" l="1"/>
  <c r="AF44" i="1"/>
  <c r="AP53" i="1"/>
  <c r="AO53" i="1"/>
  <c r="AN53" i="1"/>
  <c r="AM53" i="1"/>
  <c r="AL53" i="1"/>
  <c r="AI53" i="1"/>
  <c r="AH53" i="1"/>
  <c r="AG53" i="1"/>
  <c r="AJ51" i="1"/>
  <c r="AJ53" i="1" s="1"/>
  <c r="AJ50" i="1"/>
  <c r="AJ49" i="1"/>
  <c r="AJ48" i="1"/>
  <c r="AJ47" i="1"/>
  <c r="AK47" i="1" s="1"/>
  <c r="AJ46" i="1"/>
  <c r="AJ45" i="1"/>
  <c r="AJ42" i="1"/>
  <c r="AJ41" i="1"/>
  <c r="AJ40" i="1"/>
  <c r="AJ39" i="1"/>
  <c r="AJ38" i="1"/>
  <c r="AJ37" i="1"/>
  <c r="AJ36" i="1"/>
  <c r="AK36" i="1" s="1"/>
  <c r="AP44" i="1"/>
  <c r="AO44" i="1"/>
  <c r="AN44" i="1"/>
  <c r="AM44" i="1"/>
  <c r="AL44" i="1"/>
  <c r="AI44" i="1"/>
  <c r="AH44" i="1"/>
  <c r="AG44" i="1"/>
  <c r="AK35" i="1"/>
  <c r="AO18" i="1"/>
  <c r="AK59" i="1"/>
  <c r="AK58" i="1"/>
  <c r="AK57" i="1"/>
  <c r="AK56" i="1"/>
  <c r="AK55" i="1"/>
  <c r="AK54" i="1"/>
  <c r="AK51" i="1"/>
  <c r="AK53" i="1" s="1"/>
  <c r="AK50" i="1"/>
  <c r="AK49" i="1"/>
  <c r="AK48" i="1"/>
  <c r="AK46" i="1"/>
  <c r="AK41" i="1"/>
  <c r="AK40" i="1"/>
  <c r="AK39" i="1"/>
  <c r="AK38" i="1"/>
  <c r="AK37" i="1"/>
  <c r="AK33" i="1"/>
  <c r="AK32" i="1"/>
  <c r="AK30" i="1"/>
  <c r="AK29" i="1"/>
  <c r="AK25" i="1"/>
  <c r="AK24" i="1"/>
  <c r="AK23" i="1"/>
  <c r="AK22" i="1"/>
  <c r="AK21" i="1"/>
  <c r="AK20" i="1"/>
  <c r="AK26" i="1" s="1"/>
  <c r="AK12" i="1"/>
  <c r="AK13" i="1"/>
  <c r="AK16" i="1"/>
  <c r="AK17" i="1"/>
  <c r="AK9" i="1"/>
  <c r="AK8" i="1"/>
  <c r="AK6" i="1"/>
  <c r="AK5" i="1"/>
  <c r="AK4" i="1"/>
  <c r="AK7" i="1"/>
  <c r="AK34" i="1"/>
  <c r="AK19" i="1"/>
  <c r="AJ59" i="1"/>
  <c r="AJ58" i="1"/>
  <c r="AJ57" i="1"/>
  <c r="AJ56" i="1"/>
  <c r="AJ55" i="1"/>
  <c r="AJ54" i="1"/>
  <c r="AK45" i="1"/>
  <c r="AK42" i="1"/>
  <c r="AJ33" i="1"/>
  <c r="AJ32" i="1"/>
  <c r="AJ31" i="1"/>
  <c r="AK31" i="1" s="1"/>
  <c r="AJ30" i="1"/>
  <c r="AJ29" i="1"/>
  <c r="AJ28" i="1"/>
  <c r="AK28" i="1" s="1"/>
  <c r="AJ25" i="1"/>
  <c r="AK27" i="1" s="1"/>
  <c r="AJ24" i="1"/>
  <c r="AJ23" i="1"/>
  <c r="AJ22" i="1"/>
  <c r="AJ21" i="1"/>
  <c r="AJ20" i="1"/>
  <c r="AJ17" i="1"/>
  <c r="AJ16" i="1"/>
  <c r="AJ15" i="1"/>
  <c r="AK15" i="1" s="1"/>
  <c r="AJ14" i="1"/>
  <c r="AK14" i="1" s="1"/>
  <c r="AJ13" i="1"/>
  <c r="AJ12" i="1"/>
  <c r="AK18" i="1" s="1"/>
  <c r="AJ9" i="1"/>
  <c r="AJ8" i="1"/>
  <c r="AJ7" i="1"/>
  <c r="AJ6" i="1"/>
  <c r="AJ5" i="1"/>
  <c r="AJ4" i="1"/>
  <c r="AJ10" i="1" s="1"/>
  <c r="I54" i="1"/>
  <c r="J54" i="1" s="1"/>
  <c r="I55" i="1"/>
  <c r="I56" i="1"/>
  <c r="I57" i="1"/>
  <c r="J57" i="1" s="1"/>
  <c r="I58" i="1"/>
  <c r="I59" i="1"/>
  <c r="J59" i="1" s="1"/>
  <c r="I45" i="1"/>
  <c r="J45" i="1" s="1"/>
  <c r="I46" i="1"/>
  <c r="J46" i="1" s="1"/>
  <c r="I47" i="1"/>
  <c r="I48" i="1"/>
  <c r="I49" i="1"/>
  <c r="I50" i="1"/>
  <c r="J50" i="1" s="1"/>
  <c r="I51" i="1"/>
  <c r="I36" i="1"/>
  <c r="J36" i="1" s="1"/>
  <c r="I37" i="1"/>
  <c r="I38" i="1"/>
  <c r="I39" i="1"/>
  <c r="I40" i="1"/>
  <c r="I41" i="1"/>
  <c r="J41" i="1" s="1"/>
  <c r="I42" i="1"/>
  <c r="T42" i="1"/>
  <c r="T51" i="1"/>
  <c r="U51" i="1"/>
  <c r="U46" i="1"/>
  <c r="U45" i="1"/>
  <c r="U42" i="1"/>
  <c r="U41" i="1"/>
  <c r="U40" i="1"/>
  <c r="U39" i="1"/>
  <c r="U38" i="1"/>
  <c r="U25" i="1"/>
  <c r="U24" i="1"/>
  <c r="U23" i="1"/>
  <c r="U22" i="1"/>
  <c r="U21" i="1"/>
  <c r="U20" i="1"/>
  <c r="U17" i="1"/>
  <c r="U16" i="1"/>
  <c r="U15" i="1"/>
  <c r="U14" i="1"/>
  <c r="U13" i="1"/>
  <c r="U12" i="1"/>
  <c r="U9" i="1"/>
  <c r="U8" i="1"/>
  <c r="U7" i="1"/>
  <c r="U4" i="1"/>
  <c r="T59" i="1"/>
  <c r="U59" i="1" s="1"/>
  <c r="T58" i="1"/>
  <c r="U58" i="1" s="1"/>
  <c r="T57" i="1"/>
  <c r="U57" i="1" s="1"/>
  <c r="T56" i="1"/>
  <c r="U56" i="1" s="1"/>
  <c r="T55" i="1"/>
  <c r="U55" i="1" s="1"/>
  <c r="T54" i="1"/>
  <c r="U54" i="1" s="1"/>
  <c r="T50" i="1"/>
  <c r="U50" i="1" s="1"/>
  <c r="T49" i="1"/>
  <c r="U49" i="1" s="1"/>
  <c r="T48" i="1"/>
  <c r="U48" i="1" s="1"/>
  <c r="T47" i="1"/>
  <c r="U47" i="1" s="1"/>
  <c r="T46" i="1"/>
  <c r="T45" i="1"/>
  <c r="T41" i="1"/>
  <c r="T40" i="1"/>
  <c r="T39" i="1"/>
  <c r="T38" i="1"/>
  <c r="T37" i="1"/>
  <c r="U37" i="1" s="1"/>
  <c r="T36" i="1"/>
  <c r="U36" i="1" s="1"/>
  <c r="T33" i="1"/>
  <c r="U33" i="1" s="1"/>
  <c r="T32" i="1"/>
  <c r="U32" i="1" s="1"/>
  <c r="T31" i="1"/>
  <c r="U31" i="1" s="1"/>
  <c r="T30" i="1"/>
  <c r="U30" i="1" s="1"/>
  <c r="T29" i="1"/>
  <c r="U29" i="1" s="1"/>
  <c r="T28" i="1"/>
  <c r="U28" i="1" s="1"/>
  <c r="T25" i="1"/>
  <c r="T24" i="1"/>
  <c r="T23" i="1"/>
  <c r="T22" i="1"/>
  <c r="T21" i="1"/>
  <c r="T20" i="1"/>
  <c r="T17" i="1"/>
  <c r="T16" i="1"/>
  <c r="T15" i="1"/>
  <c r="T14" i="1"/>
  <c r="T13" i="1"/>
  <c r="T12" i="1"/>
  <c r="T9" i="1"/>
  <c r="T8" i="1"/>
  <c r="T7" i="1"/>
  <c r="T6" i="1"/>
  <c r="U6" i="1" s="1"/>
  <c r="T5" i="1"/>
  <c r="U5" i="1" s="1"/>
  <c r="T4" i="1"/>
  <c r="J58" i="1"/>
  <c r="J56" i="1"/>
  <c r="J55" i="1"/>
  <c r="J49" i="1"/>
  <c r="J48" i="1"/>
  <c r="J47" i="1"/>
  <c r="J40" i="1"/>
  <c r="J39" i="1"/>
  <c r="J38" i="1"/>
  <c r="J37" i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4" i="1"/>
  <c r="J4" i="1" s="1"/>
  <c r="I5" i="1"/>
  <c r="J5" i="1" s="1"/>
  <c r="I6" i="1"/>
  <c r="J6" i="1" s="1"/>
  <c r="I7" i="1"/>
  <c r="I8" i="1"/>
  <c r="J8" i="1" s="1"/>
  <c r="I9" i="1"/>
  <c r="J9" i="1" s="1"/>
  <c r="AP11" i="1"/>
  <c r="AO11" i="1"/>
  <c r="AN11" i="1"/>
  <c r="AM11" i="1"/>
  <c r="AL11" i="1"/>
  <c r="AI11" i="1"/>
  <c r="AI10" i="1" s="1"/>
  <c r="AL10" i="1" s="1"/>
  <c r="AM10" i="1" s="1"/>
  <c r="AH11" i="1"/>
  <c r="AG11" i="1"/>
  <c r="AF11" i="1"/>
  <c r="E44" i="1"/>
  <c r="E35" i="1"/>
  <c r="E27" i="1"/>
  <c r="E19" i="1"/>
  <c r="E11" i="1"/>
  <c r="AF61" i="1"/>
  <c r="AG61" i="1"/>
  <c r="AH61" i="1"/>
  <c r="AI61" i="1"/>
  <c r="AL61" i="1"/>
  <c r="AM61" i="1"/>
  <c r="AN61" i="1"/>
  <c r="I49" i="2"/>
  <c r="I48" i="2"/>
  <c r="H49" i="2"/>
  <c r="G49" i="2"/>
  <c r="I47" i="2"/>
  <c r="I46" i="2"/>
  <c r="I133" i="2"/>
  <c r="H133" i="2"/>
  <c r="G133" i="2"/>
  <c r="I132" i="2"/>
  <c r="I131" i="2"/>
  <c r="I130" i="2"/>
  <c r="AE35" i="1"/>
  <c r="AF35" i="1"/>
  <c r="AG35" i="1"/>
  <c r="AH35" i="1"/>
  <c r="AI35" i="1"/>
  <c r="AL35" i="1"/>
  <c r="AM35" i="1"/>
  <c r="AN35" i="1"/>
  <c r="G37" i="2"/>
  <c r="H37" i="2"/>
  <c r="I36" i="2"/>
  <c r="I35" i="2"/>
  <c r="I34" i="2"/>
  <c r="G165" i="2"/>
  <c r="H165" i="2"/>
  <c r="I164" i="2"/>
  <c r="I163" i="2"/>
  <c r="I162" i="2"/>
  <c r="I128" i="2"/>
  <c r="I127" i="2"/>
  <c r="I126" i="2"/>
  <c r="H45" i="2"/>
  <c r="G45" i="2"/>
  <c r="I42" i="2"/>
  <c r="I45" i="2" s="1"/>
  <c r="G129" i="2"/>
  <c r="H129" i="2"/>
  <c r="H125" i="2"/>
  <c r="G125" i="2"/>
  <c r="I124" i="2"/>
  <c r="I123" i="2"/>
  <c r="I122" i="2"/>
  <c r="H121" i="2"/>
  <c r="G121" i="2"/>
  <c r="I120" i="2"/>
  <c r="I119" i="2"/>
  <c r="I118" i="2"/>
  <c r="E61" i="1"/>
  <c r="F61" i="1"/>
  <c r="G61" i="1"/>
  <c r="H61" i="1"/>
  <c r="K61" i="1"/>
  <c r="L61" i="1"/>
  <c r="M61" i="1"/>
  <c r="N61" i="1"/>
  <c r="O61" i="1"/>
  <c r="P61" i="1"/>
  <c r="Q61" i="1"/>
  <c r="R61" i="1"/>
  <c r="S61" i="1"/>
  <c r="V61" i="1"/>
  <c r="W61" i="1"/>
  <c r="X61" i="1"/>
  <c r="Y61" i="1"/>
  <c r="Z61" i="1"/>
  <c r="AD61" i="1"/>
  <c r="AE61" i="1"/>
  <c r="E53" i="1"/>
  <c r="F53" i="1"/>
  <c r="G53" i="1"/>
  <c r="H53" i="1"/>
  <c r="K53" i="1"/>
  <c r="L53" i="1"/>
  <c r="M53" i="1"/>
  <c r="N53" i="1"/>
  <c r="O53" i="1"/>
  <c r="P53" i="1"/>
  <c r="Q53" i="1"/>
  <c r="R53" i="1"/>
  <c r="S53" i="1"/>
  <c r="V53" i="1"/>
  <c r="W53" i="1"/>
  <c r="X53" i="1"/>
  <c r="Y53" i="1"/>
  <c r="Z53" i="1"/>
  <c r="AB53" i="1"/>
  <c r="AC53" i="1"/>
  <c r="J42" i="1"/>
  <c r="F44" i="1"/>
  <c r="G44" i="1"/>
  <c r="H44" i="1"/>
  <c r="K44" i="1"/>
  <c r="L44" i="1"/>
  <c r="M44" i="1"/>
  <c r="N44" i="1"/>
  <c r="O44" i="1"/>
  <c r="P44" i="1"/>
  <c r="Q44" i="1"/>
  <c r="R44" i="1"/>
  <c r="S44" i="1"/>
  <c r="V44" i="1"/>
  <c r="W44" i="1"/>
  <c r="X44" i="1"/>
  <c r="Y44" i="1"/>
  <c r="Z44" i="1"/>
  <c r="W43" i="1"/>
  <c r="S43" i="1"/>
  <c r="U43" i="1" s="1"/>
  <c r="R43" i="1"/>
  <c r="Q43" i="1"/>
  <c r="P43" i="1"/>
  <c r="F35" i="1"/>
  <c r="G35" i="1"/>
  <c r="H35" i="1"/>
  <c r="K35" i="1"/>
  <c r="L35" i="1"/>
  <c r="M35" i="1"/>
  <c r="N35" i="1"/>
  <c r="O35" i="1"/>
  <c r="P35" i="1"/>
  <c r="Q35" i="1"/>
  <c r="R35" i="1"/>
  <c r="S35" i="1"/>
  <c r="V35" i="1"/>
  <c r="W35" i="1"/>
  <c r="X35" i="1"/>
  <c r="Y35" i="1"/>
  <c r="Z35" i="1"/>
  <c r="AD35" i="1"/>
  <c r="Z27" i="1"/>
  <c r="Y27" i="1"/>
  <c r="X27" i="1"/>
  <c r="W27" i="1"/>
  <c r="V27" i="1"/>
  <c r="S27" i="1"/>
  <c r="R27" i="1"/>
  <c r="Q27" i="1"/>
  <c r="P27" i="1"/>
  <c r="O27" i="1"/>
  <c r="N27" i="1"/>
  <c r="M27" i="1"/>
  <c r="L27" i="1"/>
  <c r="K27" i="1"/>
  <c r="H27" i="1"/>
  <c r="G27" i="1"/>
  <c r="F27" i="1"/>
  <c r="Z26" i="1"/>
  <c r="Y26" i="1"/>
  <c r="X26" i="1"/>
  <c r="W26" i="1"/>
  <c r="V26" i="1"/>
  <c r="S26" i="1"/>
  <c r="U26" i="1" s="1"/>
  <c r="R26" i="1"/>
  <c r="Q26" i="1"/>
  <c r="P26" i="1"/>
  <c r="O26" i="1"/>
  <c r="N26" i="1"/>
  <c r="M26" i="1"/>
  <c r="L26" i="1"/>
  <c r="K26" i="1"/>
  <c r="H26" i="1"/>
  <c r="G26" i="1"/>
  <c r="F26" i="1"/>
  <c r="E26" i="1"/>
  <c r="F19" i="1"/>
  <c r="G19" i="1"/>
  <c r="H19" i="1"/>
  <c r="K19" i="1"/>
  <c r="L19" i="1"/>
  <c r="M19" i="1"/>
  <c r="N19" i="1"/>
  <c r="O19" i="1"/>
  <c r="P19" i="1"/>
  <c r="Q19" i="1"/>
  <c r="R19" i="1"/>
  <c r="S19" i="1"/>
  <c r="V19" i="1"/>
  <c r="W19" i="1"/>
  <c r="X19" i="1"/>
  <c r="Y19" i="1"/>
  <c r="Z19" i="1"/>
  <c r="Z18" i="1"/>
  <c r="Y18" i="1"/>
  <c r="X18" i="1"/>
  <c r="W18" i="1"/>
  <c r="V18" i="1"/>
  <c r="S18" i="1"/>
  <c r="U18" i="1" s="1"/>
  <c r="R18" i="1"/>
  <c r="Q18" i="1"/>
  <c r="P18" i="1"/>
  <c r="O18" i="1"/>
  <c r="N18" i="1"/>
  <c r="M18" i="1"/>
  <c r="L18" i="1"/>
  <c r="K18" i="1"/>
  <c r="H18" i="1"/>
  <c r="G18" i="1"/>
  <c r="F18" i="1"/>
  <c r="E18" i="1"/>
  <c r="B6" i="1"/>
  <c r="B8" i="1" s="1"/>
  <c r="U34" i="1"/>
  <c r="H11" i="1"/>
  <c r="J51" i="1"/>
  <c r="F11" i="1"/>
  <c r="G11" i="1"/>
  <c r="K11" i="1"/>
  <c r="L11" i="1"/>
  <c r="M11" i="1"/>
  <c r="N11" i="1"/>
  <c r="O11" i="1"/>
  <c r="P11" i="1"/>
  <c r="Q11" i="1"/>
  <c r="R11" i="1"/>
  <c r="S11" i="1"/>
  <c r="V11" i="1"/>
  <c r="W11" i="1"/>
  <c r="X11" i="1"/>
  <c r="Y11" i="1"/>
  <c r="Z11" i="1"/>
  <c r="H189" i="2"/>
  <c r="G189" i="2"/>
  <c r="I187" i="2"/>
  <c r="I188" i="2"/>
  <c r="I186" i="2"/>
  <c r="I60" i="2"/>
  <c r="I59" i="2"/>
  <c r="I58" i="2"/>
  <c r="H181" i="2"/>
  <c r="G181" i="2"/>
  <c r="I180" i="2"/>
  <c r="I179" i="2"/>
  <c r="I178" i="2"/>
  <c r="G177" i="2"/>
  <c r="H177" i="2"/>
  <c r="I174" i="2"/>
  <c r="I176" i="2"/>
  <c r="I175" i="2"/>
  <c r="H173" i="2"/>
  <c r="G173" i="2"/>
  <c r="E173" i="2"/>
  <c r="D173" i="2"/>
  <c r="D169" i="2"/>
  <c r="E169" i="2"/>
  <c r="G169" i="2"/>
  <c r="H169" i="2"/>
  <c r="J172" i="2"/>
  <c r="J171" i="2"/>
  <c r="J170" i="2"/>
  <c r="J168" i="2"/>
  <c r="J167" i="2"/>
  <c r="J166" i="2"/>
  <c r="I170" i="2"/>
  <c r="F170" i="2"/>
  <c r="I171" i="2"/>
  <c r="F171" i="2"/>
  <c r="I172" i="2"/>
  <c r="F172" i="2"/>
  <c r="I168" i="2"/>
  <c r="F168" i="2"/>
  <c r="I167" i="2"/>
  <c r="F167" i="2"/>
  <c r="I166" i="2"/>
  <c r="F166" i="2"/>
  <c r="H153" i="2"/>
  <c r="G153" i="2"/>
  <c r="H149" i="2"/>
  <c r="G149" i="2"/>
  <c r="E149" i="2"/>
  <c r="D149" i="2"/>
  <c r="J148" i="2"/>
  <c r="J147" i="2"/>
  <c r="J146" i="2"/>
  <c r="I148" i="2"/>
  <c r="F148" i="2"/>
  <c r="I146" i="2"/>
  <c r="F146" i="2"/>
  <c r="I147" i="2"/>
  <c r="F147" i="2"/>
  <c r="H117" i="2"/>
  <c r="G117" i="2"/>
  <c r="H113" i="2"/>
  <c r="G113" i="2"/>
  <c r="I116" i="2"/>
  <c r="I114" i="2"/>
  <c r="I115" i="2"/>
  <c r="H105" i="2"/>
  <c r="G105" i="2"/>
  <c r="E105" i="2"/>
  <c r="D105" i="2"/>
  <c r="J108" i="2"/>
  <c r="J107" i="2"/>
  <c r="J106" i="2"/>
  <c r="J104" i="2"/>
  <c r="J103" i="2"/>
  <c r="J102" i="2"/>
  <c r="I107" i="2"/>
  <c r="F107" i="2"/>
  <c r="I108" i="2"/>
  <c r="F108" i="2"/>
  <c r="I106" i="2"/>
  <c r="F106" i="2"/>
  <c r="I104" i="2"/>
  <c r="F104" i="2"/>
  <c r="I103" i="2"/>
  <c r="F103" i="2"/>
  <c r="I102" i="2"/>
  <c r="F102" i="2"/>
  <c r="I112" i="2"/>
  <c r="I111" i="2"/>
  <c r="I110" i="2"/>
  <c r="I152" i="2"/>
  <c r="I151" i="2"/>
  <c r="I150" i="2"/>
  <c r="I144" i="2"/>
  <c r="I143" i="2"/>
  <c r="I140" i="2"/>
  <c r="I139" i="2"/>
  <c r="I138" i="2"/>
  <c r="I100" i="2"/>
  <c r="I99" i="2"/>
  <c r="I98" i="2"/>
  <c r="J96" i="2"/>
  <c r="J95" i="2"/>
  <c r="J94" i="2"/>
  <c r="I96" i="2"/>
  <c r="F96" i="2"/>
  <c r="I95" i="2"/>
  <c r="F95" i="2"/>
  <c r="I94" i="2"/>
  <c r="F94" i="2"/>
  <c r="F140" i="2"/>
  <c r="F139" i="2"/>
  <c r="F138" i="2"/>
  <c r="I142" i="2"/>
  <c r="D97" i="2"/>
  <c r="E97" i="2"/>
  <c r="G97" i="2"/>
  <c r="H97" i="2"/>
  <c r="G101" i="2"/>
  <c r="H101" i="2"/>
  <c r="H28" i="2"/>
  <c r="G33" i="2"/>
  <c r="H33" i="2"/>
  <c r="H145" i="2"/>
  <c r="G145" i="2"/>
  <c r="H141" i="2"/>
  <c r="G141" i="2"/>
  <c r="E141" i="2"/>
  <c r="D141" i="2"/>
  <c r="J140" i="2"/>
  <c r="J139" i="2"/>
  <c r="J138" i="2"/>
  <c r="D137" i="2"/>
  <c r="E137" i="2"/>
  <c r="G137" i="2"/>
  <c r="H137" i="2"/>
  <c r="I136" i="2"/>
  <c r="I135" i="2"/>
  <c r="I134" i="2"/>
  <c r="D28" i="2"/>
  <c r="E28" i="2"/>
  <c r="G28" i="2"/>
  <c r="J27" i="2"/>
  <c r="J26" i="2"/>
  <c r="J25" i="2"/>
  <c r="J24" i="2"/>
  <c r="I22" i="2"/>
  <c r="F22" i="2"/>
  <c r="I21" i="2"/>
  <c r="F21" i="2"/>
  <c r="I19" i="2"/>
  <c r="I20" i="2"/>
  <c r="F20" i="2"/>
  <c r="I27" i="2"/>
  <c r="F27" i="2"/>
  <c r="I26" i="2"/>
  <c r="F26" i="2"/>
  <c r="I25" i="2"/>
  <c r="F25" i="2"/>
  <c r="I24" i="2"/>
  <c r="F24" i="2"/>
  <c r="I32" i="2"/>
  <c r="I31" i="2"/>
  <c r="I30" i="2"/>
  <c r="I29" i="2"/>
  <c r="F136" i="2"/>
  <c r="F135" i="2"/>
  <c r="F134" i="2"/>
  <c r="I14" i="2"/>
  <c r="D93" i="2"/>
  <c r="E93" i="2"/>
  <c r="G93" i="2"/>
  <c r="H93" i="2"/>
  <c r="D13" i="2"/>
  <c r="E13" i="2"/>
  <c r="G13" i="2"/>
  <c r="H13" i="2"/>
  <c r="J9" i="2"/>
  <c r="J10" i="2"/>
  <c r="J11" i="2"/>
  <c r="J12" i="2"/>
  <c r="J90" i="2"/>
  <c r="J91" i="2"/>
  <c r="J92" i="2"/>
  <c r="J134" i="2"/>
  <c r="J135" i="2"/>
  <c r="J136" i="2"/>
  <c r="I92" i="2"/>
  <c r="F92" i="2"/>
  <c r="I91" i="2"/>
  <c r="F91" i="2"/>
  <c r="I90" i="2"/>
  <c r="F90" i="2"/>
  <c r="I12" i="2"/>
  <c r="F12" i="2"/>
  <c r="I11" i="2"/>
  <c r="F11" i="2"/>
  <c r="I10" i="2"/>
  <c r="F10" i="2"/>
  <c r="I9" i="2"/>
  <c r="F9" i="2"/>
  <c r="J5" i="2"/>
  <c r="J19" i="2"/>
  <c r="J6" i="2"/>
  <c r="I6" i="2"/>
  <c r="F6" i="2"/>
  <c r="F19" i="2"/>
  <c r="I5" i="2"/>
  <c r="F5" i="2"/>
  <c r="K34" i="1"/>
  <c r="L34" i="1"/>
  <c r="AB34" i="1" s="1"/>
  <c r="AC34" i="1" s="1"/>
  <c r="M34" i="1"/>
  <c r="H34" i="1"/>
  <c r="J34" i="1" s="1"/>
  <c r="G34" i="1"/>
  <c r="F34" i="1"/>
  <c r="E34" i="1"/>
  <c r="AA34" i="1" s="1"/>
  <c r="AB59" i="1"/>
  <c r="AC59" i="1" s="1"/>
  <c r="AA59" i="1"/>
  <c r="AB58" i="1"/>
  <c r="AC58" i="1" s="1"/>
  <c r="AA58" i="1"/>
  <c r="AB57" i="1"/>
  <c r="AC57" i="1" s="1"/>
  <c r="AA57" i="1"/>
  <c r="AB56" i="1"/>
  <c r="AC56" i="1" s="1"/>
  <c r="AA56" i="1"/>
  <c r="AB55" i="1"/>
  <c r="AC55" i="1" s="1"/>
  <c r="AA55" i="1"/>
  <c r="AB54" i="1"/>
  <c r="AC54" i="1" s="1"/>
  <c r="AA54" i="1"/>
  <c r="Y60" i="1"/>
  <c r="X60" i="1"/>
  <c r="W60" i="1"/>
  <c r="V60" i="1"/>
  <c r="S60" i="1"/>
  <c r="R60" i="1"/>
  <c r="Q60" i="1"/>
  <c r="P60" i="1"/>
  <c r="M60" i="1"/>
  <c r="L60" i="1"/>
  <c r="K60" i="1"/>
  <c r="H60" i="1"/>
  <c r="G60" i="1"/>
  <c r="F60" i="1"/>
  <c r="E60" i="1"/>
  <c r="AA29" i="1"/>
  <c r="AA30" i="1"/>
  <c r="AA31" i="1"/>
  <c r="AA32" i="1"/>
  <c r="AA33" i="1"/>
  <c r="AA36" i="1"/>
  <c r="AA37" i="1"/>
  <c r="AA38" i="1"/>
  <c r="AA39" i="1"/>
  <c r="AA40" i="1"/>
  <c r="AA41" i="1"/>
  <c r="AA42" i="1"/>
  <c r="AA45" i="1"/>
  <c r="AA46" i="1"/>
  <c r="AA47" i="1"/>
  <c r="AA48" i="1"/>
  <c r="AA49" i="1"/>
  <c r="AA50" i="1"/>
  <c r="AA51" i="1"/>
  <c r="AB28" i="1"/>
  <c r="AC28" i="1" s="1"/>
  <c r="AB29" i="1"/>
  <c r="AC29" i="1" s="1"/>
  <c r="AB30" i="1"/>
  <c r="AC30" i="1" s="1"/>
  <c r="AB31" i="1"/>
  <c r="AC31" i="1" s="1"/>
  <c r="AB32" i="1"/>
  <c r="AC32" i="1" s="1"/>
  <c r="AB33" i="1"/>
  <c r="AC33" i="1" s="1"/>
  <c r="AB36" i="1"/>
  <c r="AC36" i="1" s="1"/>
  <c r="AD51" i="1"/>
  <c r="AE51" i="1" s="1"/>
  <c r="AD50" i="1"/>
  <c r="AE50" i="1" s="1"/>
  <c r="AD49" i="1"/>
  <c r="AE49" i="1" s="1"/>
  <c r="Z52" i="1"/>
  <c r="Y52" i="1"/>
  <c r="V52" i="1"/>
  <c r="S52" i="1"/>
  <c r="U52" i="1" s="1"/>
  <c r="R52" i="1"/>
  <c r="Q52" i="1"/>
  <c r="P52" i="1"/>
  <c r="AA4" i="1"/>
  <c r="AA5" i="1"/>
  <c r="AA6" i="1"/>
  <c r="AA7" i="1"/>
  <c r="AA8" i="1"/>
  <c r="AA9" i="1"/>
  <c r="AA12" i="1"/>
  <c r="AA13" i="1"/>
  <c r="AA14" i="1"/>
  <c r="AA15" i="1"/>
  <c r="AA16" i="1"/>
  <c r="AA17" i="1"/>
  <c r="AA20" i="1"/>
  <c r="AA21" i="1"/>
  <c r="AA22" i="1"/>
  <c r="AA23" i="1"/>
  <c r="AA24" i="1"/>
  <c r="AA25" i="1"/>
  <c r="AA28" i="1"/>
  <c r="O43" i="1"/>
  <c r="N43" i="1"/>
  <c r="AD42" i="1"/>
  <c r="AE42" i="1" s="1"/>
  <c r="M43" i="1"/>
  <c r="L43" i="1"/>
  <c r="AB42" i="1"/>
  <c r="AC42" i="1" s="1"/>
  <c r="K43" i="1"/>
  <c r="H43" i="1"/>
  <c r="J43" i="1" s="1"/>
  <c r="G43" i="1"/>
  <c r="F43" i="1"/>
  <c r="E43" i="1"/>
  <c r="O52" i="1"/>
  <c r="N52" i="1"/>
  <c r="K52" i="1"/>
  <c r="H52" i="1"/>
  <c r="J52" i="1" s="1"/>
  <c r="G52" i="1"/>
  <c r="F52" i="1"/>
  <c r="E52" i="1"/>
  <c r="AD17" i="1"/>
  <c r="AE17" i="1" s="1"/>
  <c r="Z43" i="1"/>
  <c r="Y43" i="1"/>
  <c r="X43" i="1"/>
  <c r="V43" i="1"/>
  <c r="E10" i="1"/>
  <c r="F10" i="1"/>
  <c r="G10" i="1"/>
  <c r="H10" i="1"/>
  <c r="K10" i="1"/>
  <c r="L10" i="1"/>
  <c r="M10" i="1"/>
  <c r="N10" i="1"/>
  <c r="O10" i="1"/>
  <c r="P10" i="1"/>
  <c r="Q10" i="1"/>
  <c r="R10" i="1"/>
  <c r="S10" i="1"/>
  <c r="U10" i="1" s="1"/>
  <c r="V10" i="1"/>
  <c r="W10" i="1"/>
  <c r="X10" i="1"/>
  <c r="Y10" i="1"/>
  <c r="Z10" i="1"/>
  <c r="AD41" i="1"/>
  <c r="AE41" i="1" s="1"/>
  <c r="AB41" i="1"/>
  <c r="AC41" i="1" s="1"/>
  <c r="AD9" i="1"/>
  <c r="AE9" i="1" s="1"/>
  <c r="AB9" i="1"/>
  <c r="AC9" i="1" s="1"/>
  <c r="AD4" i="1"/>
  <c r="AE4" i="1" s="1"/>
  <c r="AD5" i="1"/>
  <c r="AE5" i="1" s="1"/>
  <c r="AD6" i="1"/>
  <c r="AE6" i="1" s="1"/>
  <c r="AD7" i="1"/>
  <c r="AE7" i="1" s="1"/>
  <c r="AD8" i="1"/>
  <c r="AE8" i="1" s="1"/>
  <c r="AD12" i="1"/>
  <c r="AE12" i="1" s="1"/>
  <c r="AD13" i="1"/>
  <c r="AE13" i="1" s="1"/>
  <c r="AD14" i="1"/>
  <c r="AE14" i="1" s="1"/>
  <c r="AD15" i="1"/>
  <c r="AE15" i="1" s="1"/>
  <c r="AD16" i="1"/>
  <c r="AE16" i="1" s="1"/>
  <c r="AD36" i="1"/>
  <c r="AE36" i="1" s="1"/>
  <c r="AD37" i="1"/>
  <c r="AE37" i="1" s="1"/>
  <c r="AD38" i="1"/>
  <c r="AE38" i="1" s="1"/>
  <c r="AD39" i="1"/>
  <c r="AE39" i="1" s="1"/>
  <c r="AD40" i="1"/>
  <c r="AE40" i="1" s="1"/>
  <c r="AD45" i="1"/>
  <c r="AE45" i="1" s="1"/>
  <c r="AD46" i="1"/>
  <c r="AE46" i="1" s="1"/>
  <c r="AD47" i="1"/>
  <c r="AE47" i="1" s="1"/>
  <c r="AD48" i="1"/>
  <c r="AE48" i="1" s="1"/>
  <c r="AB4" i="1"/>
  <c r="AC4" i="1" s="1"/>
  <c r="AB5" i="1"/>
  <c r="AC5" i="1" s="1"/>
  <c r="AB6" i="1"/>
  <c r="AC6" i="1" s="1"/>
  <c r="AB7" i="1"/>
  <c r="AC7" i="1" s="1"/>
  <c r="AB8" i="1"/>
  <c r="AC8" i="1" s="1"/>
  <c r="AB37" i="1"/>
  <c r="AC37" i="1" s="1"/>
  <c r="AB38" i="1"/>
  <c r="AC38" i="1" s="1"/>
  <c r="AB39" i="1"/>
  <c r="AC39" i="1" s="1"/>
  <c r="AB40" i="1"/>
  <c r="AC40" i="1" s="1"/>
  <c r="AK44" i="1" l="1"/>
  <c r="AK61" i="1"/>
  <c r="AK11" i="1"/>
  <c r="AK10" i="1"/>
  <c r="T11" i="1"/>
  <c r="AJ11" i="1"/>
  <c r="T10" i="1"/>
  <c r="AA61" i="1"/>
  <c r="AC61" i="1"/>
  <c r="U35" i="1"/>
  <c r="J44" i="1"/>
  <c r="I11" i="1"/>
  <c r="U61" i="1"/>
  <c r="I10" i="1"/>
  <c r="J7" i="1"/>
  <c r="J11" i="1" s="1"/>
  <c r="J35" i="1"/>
  <c r="J53" i="1"/>
  <c r="J27" i="1"/>
  <c r="J61" i="1"/>
  <c r="U53" i="1"/>
  <c r="AA53" i="1"/>
  <c r="J26" i="1"/>
  <c r="AD18" i="1"/>
  <c r="AE18" i="1" s="1"/>
  <c r="AB26" i="1"/>
  <c r="AC26" i="1" s="1"/>
  <c r="U44" i="1"/>
  <c r="AE53" i="1"/>
  <c r="AB18" i="1"/>
  <c r="AC18" i="1" s="1"/>
  <c r="AC35" i="1"/>
  <c r="U27" i="1"/>
  <c r="AD53" i="1"/>
  <c r="AB44" i="1"/>
  <c r="AB61" i="1"/>
  <c r="AC44" i="1"/>
  <c r="AE44" i="1"/>
  <c r="AD44" i="1"/>
  <c r="AA44" i="1"/>
  <c r="I37" i="2"/>
  <c r="I165" i="2"/>
  <c r="I129" i="2"/>
  <c r="I121" i="2"/>
  <c r="I125" i="2"/>
  <c r="J18" i="1"/>
  <c r="AA35" i="1"/>
  <c r="AD26" i="1"/>
  <c r="AE26" i="1" s="1"/>
  <c r="AB35" i="1"/>
  <c r="U19" i="1"/>
  <c r="J19" i="1"/>
  <c r="AA26" i="1"/>
  <c r="AA18" i="1"/>
  <c r="U11" i="1"/>
  <c r="B7" i="1"/>
  <c r="AA43" i="1"/>
  <c r="AA10" i="1"/>
  <c r="AA60" i="1"/>
  <c r="AA52" i="1"/>
  <c r="AB60" i="1"/>
  <c r="AC60" i="1" s="1"/>
  <c r="J173" i="2"/>
  <c r="I181" i="2"/>
  <c r="I189" i="2"/>
  <c r="K103" i="2"/>
  <c r="K104" i="2"/>
  <c r="K166" i="2"/>
  <c r="K167" i="2"/>
  <c r="J149" i="2"/>
  <c r="I113" i="2"/>
  <c r="K147" i="2"/>
  <c r="F169" i="2"/>
  <c r="J169" i="2"/>
  <c r="K172" i="2"/>
  <c r="K102" i="2"/>
  <c r="I169" i="2"/>
  <c r="K169" i="2" s="1"/>
  <c r="K168" i="2"/>
  <c r="I149" i="2"/>
  <c r="K171" i="2"/>
  <c r="I177" i="2"/>
  <c r="F173" i="2"/>
  <c r="K148" i="2"/>
  <c r="K170" i="2"/>
  <c r="J105" i="2"/>
  <c r="F105" i="2"/>
  <c r="I173" i="2"/>
  <c r="I105" i="2"/>
  <c r="K106" i="2"/>
  <c r="I117" i="2"/>
  <c r="K108" i="2"/>
  <c r="K107" i="2"/>
  <c r="I153" i="2"/>
  <c r="K146" i="2"/>
  <c r="F149" i="2"/>
  <c r="J109" i="2"/>
  <c r="F141" i="2"/>
  <c r="K139" i="2"/>
  <c r="J141" i="2"/>
  <c r="I141" i="2"/>
  <c r="I33" i="2"/>
  <c r="J97" i="2"/>
  <c r="K95" i="2"/>
  <c r="K94" i="2"/>
  <c r="I28" i="2"/>
  <c r="K140" i="2"/>
  <c r="I145" i="2"/>
  <c r="I97" i="2"/>
  <c r="J137" i="2"/>
  <c r="K96" i="2"/>
  <c r="I101" i="2"/>
  <c r="F97" i="2"/>
  <c r="K25" i="2"/>
  <c r="K26" i="2"/>
  <c r="K24" i="2"/>
  <c r="K134" i="2"/>
  <c r="K138" i="2"/>
  <c r="K27" i="2"/>
  <c r="F28" i="2"/>
  <c r="K136" i="2"/>
  <c r="I137" i="2"/>
  <c r="J28" i="2"/>
  <c r="K135" i="2"/>
  <c r="F137" i="2"/>
  <c r="F93" i="2"/>
  <c r="K92" i="2"/>
  <c r="I93" i="2"/>
  <c r="J93" i="2"/>
  <c r="K10" i="2"/>
  <c r="K9" i="2"/>
  <c r="K12" i="2"/>
  <c r="J13" i="2"/>
  <c r="I13" i="2"/>
  <c r="K91" i="2"/>
  <c r="K90" i="2"/>
  <c r="K11" i="2"/>
  <c r="F13" i="2"/>
  <c r="K6" i="2"/>
  <c r="K19" i="2"/>
  <c r="K5" i="2"/>
  <c r="AD43" i="1"/>
  <c r="AE43" i="1" s="1"/>
  <c r="AK43" i="1" s="1"/>
  <c r="AD10" i="1"/>
  <c r="AE10" i="1" s="1"/>
  <c r="AD52" i="1"/>
  <c r="AE52" i="1" s="1"/>
  <c r="AK52" i="1" s="1"/>
  <c r="AB10" i="1"/>
  <c r="AC10" i="1" s="1"/>
  <c r="AB43" i="1"/>
  <c r="AC43" i="1" s="1"/>
  <c r="J10" i="1" l="1"/>
  <c r="K149" i="2"/>
  <c r="K105" i="2"/>
  <c r="K173" i="2"/>
  <c r="K109" i="2"/>
  <c r="K141" i="2"/>
  <c r="K28" i="2"/>
  <c r="K97" i="2"/>
  <c r="K137" i="2"/>
  <c r="K13" i="2"/>
  <c r="K93" i="2"/>
</calcChain>
</file>

<file path=xl/sharedStrings.xml><?xml version="1.0" encoding="utf-8"?>
<sst xmlns="http://schemas.openxmlformats.org/spreadsheetml/2006/main" count="477" uniqueCount="84">
  <si>
    <t>Gardener</t>
  </si>
  <si>
    <t>25x25</t>
  </si>
  <si>
    <t>w=0.25, p=0.05, f=0.5</t>
  </si>
  <si>
    <t>w=0.25, p=0.05, f=0</t>
  </si>
  <si>
    <t>seed</t>
  </si>
  <si>
    <t>avg. reward</t>
  </si>
  <si>
    <t>std. error</t>
  </si>
  <si>
    <t>avg. killed frogs</t>
  </si>
  <si>
    <t>avg. killed plants</t>
  </si>
  <si>
    <t>before norm-guided training</t>
  </si>
  <si>
    <t>after norm-guided training</t>
  </si>
  <si>
    <t>total</t>
  </si>
  <si>
    <t>nr. wins</t>
  </si>
  <si>
    <t>avg. steps</t>
  </si>
  <si>
    <t>50x50</t>
  </si>
  <si>
    <t>min steps</t>
  </si>
  <si>
    <t>-</t>
  </si>
  <si>
    <t>pctg</t>
  </si>
  <si>
    <t>750k</t>
  </si>
  <si>
    <t>w=0.25, p=0, f=0.5</t>
  </si>
  <si>
    <t>noplants</t>
  </si>
  <si>
    <t>nophenomena</t>
  </si>
  <si>
    <t>nofrogs</t>
  </si>
  <si>
    <t>frogs and plants</t>
  </si>
  <si>
    <t>sumo</t>
  </si>
  <si>
    <t>difference</t>
  </si>
  <si>
    <t>750k+250k</t>
  </si>
  <si>
    <t>% violations</t>
  </si>
  <si>
    <t>singleIntersection</t>
  </si>
  <si>
    <t>differences</t>
  </si>
  <si>
    <t>amb_prob=0.01
north_south_prob=0.8
west_east_prob=0.01</t>
  </si>
  <si>
    <t>500k + 200k</t>
  </si>
  <si>
    <t>unbalanced towards</t>
  </si>
  <si>
    <t>north south</t>
  </si>
  <si>
    <t>balanced</t>
  </si>
  <si>
    <t>west east</t>
  </si>
  <si>
    <t>200k + 100k</t>
  </si>
  <si>
    <t>200k + 50k</t>
  </si>
  <si>
    <t>300k+100k</t>
  </si>
  <si>
    <t>amb_prob=0.01
north_south_prob=0.4
west_east_prob=0.4</t>
  </si>
  <si>
    <t>balanced, low flow</t>
  </si>
  <si>
    <t>amb_prob=0.01
north_south_prob=0.05
west_east_prob=0.05</t>
  </si>
  <si>
    <t>untrained + 100k</t>
  </si>
  <si>
    <t>untrained + 50k</t>
  </si>
  <si>
    <t>100k + 50k</t>
  </si>
  <si>
    <t>Summe</t>
  </si>
  <si>
    <t>Mittelwert</t>
  </si>
  <si>
    <t>Laufende Summe</t>
  </si>
  <si>
    <t>Anzahl</t>
  </si>
  <si>
    <t>50k + 25k</t>
  </si>
  <si>
    <t>untrained + 25k</t>
  </si>
  <si>
    <t>100k + 50k margin10</t>
  </si>
  <si>
    <t>untrained + 50k margin10</t>
  </si>
  <si>
    <t>amb_prob=0.01
north_south_prob=0.01
west_east_prob=0.8</t>
  </si>
  <si>
    <t>100k 50k margin 20</t>
  </si>
  <si>
    <t>untrained + 50k margin20</t>
  </si>
  <si>
    <t>balanced, more amb</t>
  </si>
  <si>
    <t>100k+50k</t>
  </si>
  <si>
    <t>amb_prob=0.1
north_south_prob=0.4
west_east_prob=0.4</t>
  </si>
  <si>
    <t>100k+50k margin10</t>
  </si>
  <si>
    <t>50k + 25k margin10</t>
  </si>
  <si>
    <t>untrained + 25k margin10</t>
  </si>
  <si>
    <t>not learning</t>
  </si>
  <si>
    <t>more violations after the norm-guided training but low</t>
  </si>
  <si>
    <t>50k + 25k margin 50</t>
  </si>
  <si>
    <t>untrained + 25k margin 50</t>
  </si>
  <si>
    <t>untrained + 50k margin0</t>
  </si>
  <si>
    <t>200k + 50k margin50</t>
  </si>
  <si>
    <t>300k + 100k margin50</t>
  </si>
  <si>
    <t>untrained + 50k margin50</t>
  </si>
  <si>
    <t>untrained + 100k margin50</t>
  </si>
  <si>
    <t>100k + 50k margin0</t>
  </si>
  <si>
    <t>50k + 25k margin0</t>
  </si>
  <si>
    <t>untrained + 25k margin0</t>
  </si>
  <si>
    <t>300k + 100k margin100</t>
  </si>
  <si>
    <t>same violations</t>
  </si>
  <si>
    <t>irrelevant</t>
  </si>
  <si>
    <t>same as before for this part of the training</t>
  </si>
  <si>
    <t>100k policy fix</t>
  </si>
  <si>
    <t>policy fix</t>
  </si>
  <si>
    <t>no filter</t>
  </si>
  <si>
    <t>nofilter 100k +50k margin10</t>
  </si>
  <si>
    <t>w=0.25, p=0.05, f=1.0</t>
  </si>
  <si>
    <t>NOT YET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</si>
</sst>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3">
    <xf numFmtId="0" fontId="0" fillId="0" borderId="0" xfId="0"/>
    <xf numFmtId="0" fontId="0" fillId="2" borderId="0" xfId="0" applyFill="1"/>
    <xf numFmtId="0" fontId="0" fillId="3" borderId="0" xfId="0" applyFill="1"/>
    <xf numFmtId="2" fontId="0" fillId="2" borderId="0" xfId="0" quotePrefix="1" applyNumberFormat="1" applyFill="1"/>
    <xf numFmtId="2" fontId="0" fillId="3" borderId="0" xfId="0" quotePrefix="1" applyNumberFormat="1" applyFill="1"/>
    <xf numFmtId="2" fontId="0" fillId="0" borderId="0" xfId="0" quotePrefix="1" applyNumberFormat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2" fontId="0" fillId="2" borderId="0" xfId="0" applyNumberFormat="1" applyFill="1"/>
    <xf numFmtId="2" fontId="0" fillId="2" borderId="5" xfId="0" applyNumberFormat="1" applyFill="1" applyBorder="1"/>
    <xf numFmtId="0" fontId="0" fillId="3" borderId="4" xfId="0" applyFill="1" applyBorder="1"/>
    <xf numFmtId="2" fontId="0" fillId="3" borderId="0" xfId="0" applyNumberFormat="1" applyFill="1"/>
    <xf numFmtId="2" fontId="0" fillId="3" borderId="5" xfId="0" applyNumberFormat="1" applyFill="1" applyBorder="1"/>
    <xf numFmtId="2" fontId="0" fillId="0" borderId="0" xfId="0" applyNumberFormat="1"/>
    <xf numFmtId="2" fontId="0" fillId="0" borderId="5" xfId="0" applyNumberFormat="1" applyBorder="1"/>
    <xf numFmtId="2" fontId="0" fillId="0" borderId="7" xfId="0" applyNumberFormat="1" applyBorder="1"/>
    <xf numFmtId="0" fontId="0" fillId="0" borderId="1" xfId="0" applyBorder="1"/>
    <xf numFmtId="2" fontId="0" fillId="2" borderId="4" xfId="0" applyNumberFormat="1" applyFill="1" applyBorder="1"/>
    <xf numFmtId="2" fontId="0" fillId="3" borderId="4" xfId="0" applyNumberFormat="1" applyFill="1" applyBorder="1"/>
    <xf numFmtId="2" fontId="0" fillId="0" borderId="4" xfId="0" applyNumberFormat="1" applyBorder="1"/>
    <xf numFmtId="2" fontId="0" fillId="2" borderId="4" xfId="0" quotePrefix="1" applyNumberFormat="1" applyFill="1" applyBorder="1"/>
    <xf numFmtId="2" fontId="0" fillId="3" borderId="4" xfId="0" quotePrefix="1" applyNumberFormat="1" applyFill="1" applyBorder="1"/>
    <xf numFmtId="2" fontId="0" fillId="0" borderId="4" xfId="0" quotePrefix="1" applyNumberFormat="1" applyBorder="1"/>
    <xf numFmtId="0" fontId="0" fillId="0" borderId="6" xfId="0" quotePrefix="1" applyBorder="1"/>
    <xf numFmtId="9" fontId="0" fillId="2" borderId="0" xfId="1" applyFont="1" applyFill="1" applyBorder="1"/>
    <xf numFmtId="9" fontId="0" fillId="3" borderId="0" xfId="1" applyFont="1" applyFill="1" applyBorder="1"/>
    <xf numFmtId="9" fontId="0" fillId="0" borderId="0" xfId="1" applyFont="1" applyBorder="1"/>
    <xf numFmtId="9" fontId="0" fillId="2" borderId="0" xfId="1" quotePrefix="1" applyFont="1" applyFill="1" applyBorder="1"/>
    <xf numFmtId="9" fontId="0" fillId="3" borderId="0" xfId="1" quotePrefix="1" applyFont="1" applyFill="1" applyBorder="1"/>
    <xf numFmtId="9" fontId="0" fillId="0" borderId="0" xfId="1" quotePrefix="1" applyFont="1" applyBorder="1"/>
    <xf numFmtId="9" fontId="0" fillId="0" borderId="7" xfId="1" quotePrefix="1" applyFont="1" applyBorder="1"/>
    <xf numFmtId="9" fontId="0" fillId="2" borderId="5" xfId="1" applyFont="1" applyFill="1" applyBorder="1"/>
    <xf numFmtId="9" fontId="0" fillId="3" borderId="5" xfId="1" applyFont="1" applyFill="1" applyBorder="1"/>
    <xf numFmtId="9" fontId="0" fillId="0" borderId="5" xfId="1" applyFont="1" applyBorder="1"/>
    <xf numFmtId="9" fontId="0" fillId="2" borderId="5" xfId="1" quotePrefix="1" applyFont="1" applyFill="1" applyBorder="1"/>
    <xf numFmtId="9" fontId="0" fillId="3" borderId="5" xfId="1" quotePrefix="1" applyFont="1" applyFill="1" applyBorder="1"/>
    <xf numFmtId="9" fontId="0" fillId="0" borderId="5" xfId="1" quotePrefix="1" applyFont="1" applyBorder="1"/>
    <xf numFmtId="9" fontId="0" fillId="0" borderId="8" xfId="1" quotePrefix="1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2" fontId="0" fillId="0" borderId="5" xfId="0" quotePrefix="1" applyNumberFormat="1" applyBorder="1"/>
    <xf numFmtId="0" fontId="0" fillId="0" borderId="0" xfId="0" applyBorder="1" applyAlignment="1">
      <alignment horizontal="center"/>
    </xf>
    <xf numFmtId="0" fontId="0" fillId="0" borderId="0" xfId="0" applyBorder="1"/>
    <xf numFmtId="2" fontId="0" fillId="0" borderId="0" xfId="0" applyNumberFormat="1" applyBorder="1"/>
    <xf numFmtId="0" fontId="0" fillId="0" borderId="0" xfId="0" applyFill="1" applyBorder="1"/>
    <xf numFmtId="1" fontId="0" fillId="2" borderId="0" xfId="0" applyNumberFormat="1" applyFill="1" applyBorder="1"/>
    <xf numFmtId="1" fontId="0" fillId="3" borderId="0" xfId="0" applyNumberFormat="1" applyFill="1" applyBorder="1"/>
    <xf numFmtId="1" fontId="0" fillId="0" borderId="0" xfId="0" applyNumberFormat="1" applyBorder="1"/>
    <xf numFmtId="1" fontId="0" fillId="0" borderId="0" xfId="0" quotePrefix="1" applyNumberFormat="1" applyBorder="1"/>
    <xf numFmtId="2" fontId="0" fillId="3" borderId="5" xfId="0" quotePrefix="1" applyNumberFormat="1" applyFill="1" applyBorder="1"/>
    <xf numFmtId="1" fontId="0" fillId="3" borderId="0" xfId="0" quotePrefix="1" applyNumberFormat="1" applyFill="1" applyBorder="1"/>
    <xf numFmtId="2" fontId="0" fillId="2" borderId="5" xfId="0" quotePrefix="1" applyNumberFormat="1" applyFill="1" applyBorder="1"/>
    <xf numFmtId="1" fontId="0" fillId="2" borderId="0" xfId="0" quotePrefix="1" applyNumberFormat="1" applyFill="1" applyBorder="1"/>
    <xf numFmtId="0" fontId="0" fillId="2" borderId="0" xfId="0" applyFill="1" applyBorder="1"/>
    <xf numFmtId="0" fontId="0" fillId="0" borderId="0" xfId="0" applyFill="1"/>
    <xf numFmtId="2" fontId="0" fillId="0" borderId="0" xfId="0" quotePrefix="1" applyNumberFormat="1" applyFill="1"/>
    <xf numFmtId="9" fontId="0" fillId="2" borderId="0" xfId="1" applyFont="1" applyFill="1"/>
    <xf numFmtId="170" fontId="0" fillId="2" borderId="5" xfId="1" applyNumberFormat="1" applyFont="1" applyFill="1" applyBorder="1"/>
    <xf numFmtId="170" fontId="0" fillId="2" borderId="0" xfId="1" applyNumberFormat="1" applyFont="1" applyFill="1"/>
    <xf numFmtId="2" fontId="0" fillId="0" borderId="0" xfId="0" applyNumberFormat="1" applyFill="1"/>
    <xf numFmtId="0" fontId="0" fillId="0" borderId="0" xfId="0" applyFill="1" applyAlignment="1">
      <alignment wrapText="1"/>
    </xf>
    <xf numFmtId="170" fontId="0" fillId="0" borderId="0" xfId="1" applyNumberFormat="1" applyFont="1" applyFill="1"/>
    <xf numFmtId="9" fontId="0" fillId="0" borderId="0" xfId="1" applyFont="1" applyFill="1"/>
    <xf numFmtId="170" fontId="0" fillId="0" borderId="5" xfId="1" applyNumberFormat="1" applyFont="1" applyFill="1" applyBorder="1"/>
    <xf numFmtId="170" fontId="0" fillId="2" borderId="0" xfId="1" quotePrefix="1" applyNumberFormat="1" applyFont="1" applyFill="1"/>
    <xf numFmtId="170" fontId="0" fillId="0" borderId="0" xfId="1" quotePrefix="1" applyNumberFormat="1" applyFont="1" applyFill="1"/>
    <xf numFmtId="9" fontId="0" fillId="0" borderId="0" xfId="1" quotePrefix="1" applyFont="1" applyFill="1"/>
    <xf numFmtId="170" fontId="0" fillId="0" borderId="5" xfId="1" quotePrefix="1" applyNumberFormat="1" applyFont="1" applyFill="1" applyBorder="1"/>
    <xf numFmtId="170" fontId="0" fillId="3" borderId="0" xfId="1" applyNumberFormat="1" applyFont="1" applyFill="1"/>
    <xf numFmtId="9" fontId="0" fillId="3" borderId="0" xfId="1" applyFont="1" applyFill="1"/>
    <xf numFmtId="170" fontId="0" fillId="3" borderId="5" xfId="1" applyNumberFormat="1" applyFont="1" applyFill="1" applyBorder="1"/>
    <xf numFmtId="0" fontId="0" fillId="0" borderId="0" xfId="0" quotePrefix="1" applyFill="1"/>
    <xf numFmtId="9" fontId="0" fillId="2" borderId="0" xfId="1" quotePrefix="1" applyFont="1" applyFill="1"/>
    <xf numFmtId="170" fontId="0" fillId="2" borderId="5" xfId="1" quotePrefix="1" applyNumberFormat="1" applyFont="1" applyFill="1" applyBorder="1"/>
    <xf numFmtId="0" fontId="0" fillId="0" borderId="4" xfId="0" quotePrefix="1" applyBorder="1"/>
    <xf numFmtId="10" fontId="0" fillId="0" borderId="0" xfId="1" applyNumberFormat="1" applyFont="1" applyFill="1"/>
    <xf numFmtId="10" fontId="0" fillId="2" borderId="0" xfId="1" applyNumberFormat="1" applyFont="1" applyFill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81C80-C838-4351-927B-3284A5F675C1}">
  <dimension ref="A1:AP61"/>
  <sheetViews>
    <sheetView tabSelected="1" topLeftCell="T12" zoomScale="75" zoomScaleNormal="75" workbookViewId="0">
      <selection activeCell="AM51" sqref="AM51"/>
    </sheetView>
  </sheetViews>
  <sheetFormatPr baseColWidth="10" defaultRowHeight="14.4" x14ac:dyDescent="0.3"/>
  <cols>
    <col min="2" max="2" width="18.44140625" bestFit="1" customWidth="1"/>
    <col min="3" max="3" width="5" bestFit="1" customWidth="1"/>
    <col min="4" max="4" width="9.33203125" bestFit="1" customWidth="1"/>
    <col min="5" max="5" width="7.77734375" bestFit="1" customWidth="1"/>
    <col min="6" max="6" width="10.77734375" bestFit="1" customWidth="1"/>
    <col min="7" max="7" width="8.77734375" bestFit="1" customWidth="1"/>
    <col min="8" max="8" width="9.44140625" bestFit="1" customWidth="1"/>
    <col min="9" max="10" width="9.44140625" customWidth="1"/>
    <col min="11" max="11" width="8.77734375" bestFit="1" customWidth="1"/>
    <col min="12" max="12" width="14.33203125" bestFit="1" customWidth="1"/>
    <col min="13" max="13" width="8.77734375" bestFit="1" customWidth="1"/>
    <col min="14" max="14" width="15.44140625" bestFit="1" customWidth="1"/>
    <col min="15" max="15" width="8.77734375" bestFit="1" customWidth="1"/>
    <col min="16" max="16" width="7.77734375" bestFit="1" customWidth="1"/>
    <col min="17" max="17" width="10.88671875" bestFit="1" customWidth="1"/>
    <col min="18" max="18" width="9.5546875" bestFit="1" customWidth="1"/>
    <col min="19" max="19" width="10.5546875" bestFit="1" customWidth="1"/>
    <col min="20" max="21" width="9.44140625" customWidth="1"/>
    <col min="22" max="22" width="9.5546875" bestFit="1" customWidth="1"/>
    <col min="23" max="23" width="14.44140625" bestFit="1" customWidth="1"/>
    <col min="24" max="24" width="9.5546875" bestFit="1" customWidth="1"/>
    <col min="25" max="25" width="15.44140625" bestFit="1" customWidth="1"/>
    <col min="26" max="26" width="8.77734375" bestFit="1" customWidth="1"/>
    <col min="27" max="27" width="8.77734375" customWidth="1"/>
    <col min="28" max="28" width="14.33203125" bestFit="1" customWidth="1"/>
    <col min="29" max="29" width="14.33203125" customWidth="1"/>
    <col min="30" max="30" width="15.44140625" bestFit="1" customWidth="1"/>
    <col min="36" max="37" width="9.44140625" customWidth="1"/>
  </cols>
  <sheetData>
    <row r="1" spans="1:42" x14ac:dyDescent="0.3">
      <c r="A1" t="s">
        <v>0</v>
      </c>
    </row>
    <row r="2" spans="1:42" x14ac:dyDescent="0.3">
      <c r="E2" s="43" t="s">
        <v>9</v>
      </c>
      <c r="F2" s="44"/>
      <c r="G2" s="44"/>
      <c r="H2" s="44"/>
      <c r="I2" s="44"/>
      <c r="J2" s="44"/>
      <c r="K2" s="44"/>
      <c r="L2" s="44"/>
      <c r="M2" s="44"/>
      <c r="N2" s="44"/>
      <c r="O2" s="45"/>
      <c r="P2" s="43" t="s">
        <v>10</v>
      </c>
      <c r="Q2" s="44"/>
      <c r="R2" s="44"/>
      <c r="S2" s="44"/>
      <c r="T2" s="44"/>
      <c r="U2" s="44"/>
      <c r="V2" s="44"/>
      <c r="W2" s="44"/>
      <c r="X2" s="44"/>
      <c r="Y2" s="44"/>
      <c r="Z2" s="45"/>
      <c r="AA2" s="47"/>
      <c r="AB2" s="41" t="s">
        <v>25</v>
      </c>
      <c r="AC2" s="42"/>
      <c r="AD2" s="42"/>
      <c r="AE2" s="42"/>
      <c r="AF2" t="s">
        <v>79</v>
      </c>
    </row>
    <row r="3" spans="1:42" x14ac:dyDescent="0.3">
      <c r="C3" t="s">
        <v>4</v>
      </c>
      <c r="D3" t="s">
        <v>15</v>
      </c>
      <c r="E3" s="6" t="s">
        <v>12</v>
      </c>
      <c r="F3" t="s">
        <v>5</v>
      </c>
      <c r="G3" t="s">
        <v>6</v>
      </c>
      <c r="H3" t="s">
        <v>13</v>
      </c>
      <c r="K3" t="s">
        <v>6</v>
      </c>
      <c r="L3" t="s">
        <v>7</v>
      </c>
      <c r="M3" t="s">
        <v>6</v>
      </c>
      <c r="N3" t="s">
        <v>8</v>
      </c>
      <c r="O3" s="7" t="s">
        <v>6</v>
      </c>
      <c r="P3" s="6" t="s">
        <v>12</v>
      </c>
      <c r="Q3" t="s">
        <v>5</v>
      </c>
      <c r="R3" t="s">
        <v>6</v>
      </c>
      <c r="S3" t="s">
        <v>13</v>
      </c>
      <c r="V3" t="s">
        <v>6</v>
      </c>
      <c r="W3" t="s">
        <v>7</v>
      </c>
      <c r="X3" t="s">
        <v>6</v>
      </c>
      <c r="Y3" t="s">
        <v>8</v>
      </c>
      <c r="Z3" s="7" t="s">
        <v>6</v>
      </c>
      <c r="AA3" s="50" t="s">
        <v>12</v>
      </c>
      <c r="AB3" s="17" t="s">
        <v>7</v>
      </c>
      <c r="AC3" s="39" t="s">
        <v>17</v>
      </c>
      <c r="AD3" s="39" t="s">
        <v>8</v>
      </c>
      <c r="AE3" s="40" t="s">
        <v>17</v>
      </c>
      <c r="AF3" s="6" t="s">
        <v>12</v>
      </c>
      <c r="AG3" t="s">
        <v>5</v>
      </c>
      <c r="AH3" t="s">
        <v>6</v>
      </c>
      <c r="AI3" t="s">
        <v>13</v>
      </c>
      <c r="AL3" t="s">
        <v>6</v>
      </c>
      <c r="AM3" t="s">
        <v>7</v>
      </c>
      <c r="AN3" t="s">
        <v>6</v>
      </c>
      <c r="AO3" t="s">
        <v>8</v>
      </c>
      <c r="AP3" s="7" t="s">
        <v>6</v>
      </c>
    </row>
    <row r="4" spans="1:42" s="1" customFormat="1" x14ac:dyDescent="0.3">
      <c r="A4" s="1" t="s">
        <v>1</v>
      </c>
      <c r="B4" s="1" t="s">
        <v>2</v>
      </c>
      <c r="C4" s="1">
        <v>1337</v>
      </c>
      <c r="D4" s="1">
        <v>18</v>
      </c>
      <c r="E4" s="8">
        <v>999</v>
      </c>
      <c r="F4" s="9">
        <v>100.105</v>
      </c>
      <c r="G4" s="9">
        <v>0.39250737195247298</v>
      </c>
      <c r="H4" s="9">
        <v>19.231999999999999</v>
      </c>
      <c r="I4" s="9">
        <f t="shared" ref="I4:I9" si="0">(H4*1000-200*(1000-E4))/E4</f>
        <v>19.051051051051051</v>
      </c>
      <c r="J4" s="9">
        <f>I4/D4</f>
        <v>1.0583917250583916</v>
      </c>
      <c r="K4" s="9">
        <v>0.18648579826076001</v>
      </c>
      <c r="L4" s="9">
        <v>1.5129999999999999</v>
      </c>
      <c r="M4" s="9">
        <v>2.6201479300175301E-2</v>
      </c>
      <c r="N4" s="9">
        <v>1.972</v>
      </c>
      <c r="O4" s="10">
        <v>5.4078873180980003E-3</v>
      </c>
      <c r="P4" s="8">
        <v>1000</v>
      </c>
      <c r="Q4" s="9">
        <v>87.557000000000002</v>
      </c>
      <c r="R4" s="9">
        <v>0.21796848685362999</v>
      </c>
      <c r="S4" s="9">
        <v>19.359000000000002</v>
      </c>
      <c r="T4" s="9">
        <f t="shared" ref="T4:T9" si="1">(S4*1000-200*(1000-P4))/P4</f>
        <v>19.359000000000002</v>
      </c>
      <c r="U4" s="9">
        <f>T4/D4</f>
        <v>1.0755000000000001</v>
      </c>
      <c r="V4" s="9">
        <v>5.1095300466184997E-2</v>
      </c>
      <c r="W4" s="9">
        <v>0.93400000000000005</v>
      </c>
      <c r="X4" s="9">
        <v>2.5303839319049601E-2</v>
      </c>
      <c r="Y4" s="9">
        <v>0.41399999999999998</v>
      </c>
      <c r="Z4" s="10">
        <v>1.6274792437044099E-2</v>
      </c>
      <c r="AA4" s="51">
        <f>P4-E4</f>
        <v>1</v>
      </c>
      <c r="AB4" s="18">
        <f>L4-W4</f>
        <v>0.57899999999999985</v>
      </c>
      <c r="AC4" s="25">
        <f>AB4/L4</f>
        <v>0.38268341044282872</v>
      </c>
      <c r="AD4" s="9">
        <f>N4-Y4</f>
        <v>1.5580000000000001</v>
      </c>
      <c r="AE4" s="32">
        <f>AD4/N4</f>
        <v>0.79006085192697773</v>
      </c>
      <c r="AJ4" s="9" t="e">
        <f t="shared" ref="AJ4:AJ9" si="2">(AI4*1000-200*(1000-AF4))/AF4</f>
        <v>#DIV/0!</v>
      </c>
      <c r="AK4" s="9" t="e">
        <f t="shared" ref="AK4:AK6" si="3">AJ4/D4</f>
        <v>#DIV/0!</v>
      </c>
    </row>
    <row r="5" spans="1:42" s="2" customFormat="1" x14ac:dyDescent="0.3">
      <c r="B5" s="2" t="s">
        <v>23</v>
      </c>
      <c r="C5" s="2">
        <v>2337</v>
      </c>
      <c r="D5" s="2">
        <v>25</v>
      </c>
      <c r="E5" s="11">
        <v>324</v>
      </c>
      <c r="F5" s="12">
        <v>-92.456999999999994</v>
      </c>
      <c r="G5" s="12">
        <v>3.6401971356213898</v>
      </c>
      <c r="H5" s="12">
        <v>170.88900000000001</v>
      </c>
      <c r="I5" s="12">
        <f t="shared" si="0"/>
        <v>110.15123456790124</v>
      </c>
      <c r="J5" s="9">
        <f t="shared" ref="J5:J9" si="4">I5/D5</f>
        <v>4.4060493827160494</v>
      </c>
      <c r="K5" s="12">
        <v>1.46864345318821</v>
      </c>
      <c r="L5" s="12">
        <v>4.9050000000000002</v>
      </c>
      <c r="M5" s="12">
        <v>6.2384828819728802E-2</v>
      </c>
      <c r="N5" s="12">
        <v>7.7290000000000001</v>
      </c>
      <c r="O5" s="13">
        <v>3.0339404731791898E-2</v>
      </c>
      <c r="P5" s="11">
        <v>4</v>
      </c>
      <c r="Q5" s="12">
        <v>-178.22300000000001</v>
      </c>
      <c r="R5" s="12">
        <v>0.58750355865426995</v>
      </c>
      <c r="S5" s="12">
        <v>199.72</v>
      </c>
      <c r="T5" s="12">
        <f t="shared" si="1"/>
        <v>130</v>
      </c>
      <c r="U5" s="9">
        <f t="shared" ref="U5:U9" si="5">T5/D5</f>
        <v>5.2</v>
      </c>
      <c r="V5" s="12">
        <v>0.14205555173867601</v>
      </c>
      <c r="W5" s="12">
        <v>2.238</v>
      </c>
      <c r="X5" s="12">
        <v>3.1565049538252697E-2</v>
      </c>
      <c r="Y5" s="12">
        <v>2.6469999999999998</v>
      </c>
      <c r="Z5" s="13">
        <v>2.0756247778002199E-2</v>
      </c>
      <c r="AA5" s="52">
        <f>P5-E5</f>
        <v>-320</v>
      </c>
      <c r="AB5" s="19">
        <f>L5-W5</f>
        <v>2.6670000000000003</v>
      </c>
      <c r="AC5" s="26">
        <f>AB5/L5</f>
        <v>0.54373088685015292</v>
      </c>
      <c r="AD5" s="12">
        <f>N5-Y5</f>
        <v>5.0820000000000007</v>
      </c>
      <c r="AE5" s="33">
        <f>AD5/N5</f>
        <v>0.65752361236899992</v>
      </c>
      <c r="AJ5" s="12" t="e">
        <f t="shared" si="2"/>
        <v>#DIV/0!</v>
      </c>
      <c r="AK5" s="9" t="e">
        <f t="shared" si="3"/>
        <v>#DIV/0!</v>
      </c>
    </row>
    <row r="6" spans="1:42" s="2" customFormat="1" x14ac:dyDescent="0.3">
      <c r="B6" s="2">
        <f>0.5*25*25</f>
        <v>312.5</v>
      </c>
      <c r="C6" s="2">
        <v>3337</v>
      </c>
      <c r="D6" s="2">
        <v>20</v>
      </c>
      <c r="E6" s="11">
        <v>84</v>
      </c>
      <c r="F6" s="12">
        <v>-184.04599999999999</v>
      </c>
      <c r="G6" s="12">
        <v>1.8873478656479701</v>
      </c>
      <c r="H6" s="12">
        <v>192.43100000000001</v>
      </c>
      <c r="I6" s="12">
        <f t="shared" si="0"/>
        <v>109.89285714285714</v>
      </c>
      <c r="J6" s="9">
        <f t="shared" si="4"/>
        <v>5.4946428571428569</v>
      </c>
      <c r="K6" s="12">
        <v>0.89785376336037004</v>
      </c>
      <c r="L6" s="12">
        <v>1.9490000000000001</v>
      </c>
      <c r="M6" s="12">
        <v>3.6272782009582803E-2</v>
      </c>
      <c r="N6" s="12">
        <v>1.1319999999999999</v>
      </c>
      <c r="O6" s="13">
        <v>2.01241392606238E-2</v>
      </c>
      <c r="P6" s="11">
        <v>1000</v>
      </c>
      <c r="Q6" s="12">
        <v>76.241</v>
      </c>
      <c r="R6" s="12">
        <v>0.14732489139186</v>
      </c>
      <c r="S6" s="12">
        <v>23.427</v>
      </c>
      <c r="T6" s="12">
        <f t="shared" si="1"/>
        <v>23.427</v>
      </c>
      <c r="U6" s="9">
        <f t="shared" si="5"/>
        <v>1.1713499999999999</v>
      </c>
      <c r="V6" s="12">
        <v>6.2917641640716504E-2</v>
      </c>
      <c r="W6" s="12">
        <v>7.1999999999999995E-2</v>
      </c>
      <c r="X6" s="12">
        <v>9.3221726492756403E-3</v>
      </c>
      <c r="Y6" s="12">
        <v>2.5999999999999999E-2</v>
      </c>
      <c r="Z6" s="13">
        <v>5.0348137353182498E-3</v>
      </c>
      <c r="AA6" s="52">
        <f>P6-E6</f>
        <v>916</v>
      </c>
      <c r="AB6" s="19">
        <f>L6-W6</f>
        <v>1.877</v>
      </c>
      <c r="AC6" s="26">
        <f>AB6/L6</f>
        <v>0.96305797845048735</v>
      </c>
      <c r="AD6" s="12">
        <f>N6-Y6</f>
        <v>1.1059999999999999</v>
      </c>
      <c r="AE6" s="33">
        <f>AD6/N6</f>
        <v>0.97703180212014129</v>
      </c>
      <c r="AJ6" s="12" t="e">
        <f t="shared" si="2"/>
        <v>#DIV/0!</v>
      </c>
      <c r="AK6" s="9" t="e">
        <f t="shared" si="3"/>
        <v>#DIV/0!</v>
      </c>
    </row>
    <row r="7" spans="1:42" s="1" customFormat="1" x14ac:dyDescent="0.3">
      <c r="B7" s="1">
        <f>B6*0.05</f>
        <v>15.625</v>
      </c>
      <c r="C7" s="1">
        <v>4337</v>
      </c>
      <c r="D7" s="1">
        <v>22</v>
      </c>
      <c r="E7" s="8">
        <v>1000</v>
      </c>
      <c r="F7" s="9">
        <v>86.090999999999994</v>
      </c>
      <c r="G7" s="9">
        <v>0.166518609913269</v>
      </c>
      <c r="H7" s="9">
        <v>25.568000000000001</v>
      </c>
      <c r="I7" s="9">
        <f t="shared" si="0"/>
        <v>25.568000000000001</v>
      </c>
      <c r="J7" s="9">
        <f t="shared" si="4"/>
        <v>1.1621818181818182</v>
      </c>
      <c r="K7" s="9">
        <v>5.5339302836577502E-2</v>
      </c>
      <c r="L7" s="9">
        <v>0.184</v>
      </c>
      <c r="M7" s="9">
        <v>1.25818242835569E-2</v>
      </c>
      <c r="N7" s="9">
        <v>1.905</v>
      </c>
      <c r="O7" s="10">
        <v>9.3841921902240999E-3</v>
      </c>
      <c r="P7" s="8">
        <v>1000</v>
      </c>
      <c r="Q7" s="9">
        <v>77.5</v>
      </c>
      <c r="R7" s="9">
        <v>0.109654110839603</v>
      </c>
      <c r="S7" s="9">
        <v>23.731000000000002</v>
      </c>
      <c r="T7" s="9">
        <f t="shared" si="1"/>
        <v>23.731000000000002</v>
      </c>
      <c r="U7" s="9">
        <f t="shared" si="5"/>
        <v>1.0786818181818183</v>
      </c>
      <c r="V7" s="9">
        <v>6.5581551826256204E-2</v>
      </c>
      <c r="W7" s="9">
        <v>6.9000000000000006E-2</v>
      </c>
      <c r="X7" s="9">
        <v>9.0731097933024699E-3</v>
      </c>
      <c r="Y7" s="9">
        <v>0.115</v>
      </c>
      <c r="Z7" s="10">
        <v>1.0093407594904499E-2</v>
      </c>
      <c r="AA7" s="51">
        <f>P7-E7</f>
        <v>0</v>
      </c>
      <c r="AB7" s="18">
        <f>L7-W7</f>
        <v>0.11499999999999999</v>
      </c>
      <c r="AC7" s="25">
        <f>AB7/L7</f>
        <v>0.625</v>
      </c>
      <c r="AD7" s="9">
        <f>N7-Y7</f>
        <v>1.79</v>
      </c>
      <c r="AE7" s="32">
        <f>AD7/N7</f>
        <v>0.93963254593175849</v>
      </c>
      <c r="AF7" s="1">
        <v>46</v>
      </c>
      <c r="AG7" s="1">
        <v>-871.39400000000001</v>
      </c>
      <c r="AH7" s="1">
        <v>18.847982151816499</v>
      </c>
      <c r="AI7" s="1">
        <v>192.244</v>
      </c>
      <c r="AJ7" s="9">
        <f t="shared" si="2"/>
        <v>31.391304347826086</v>
      </c>
      <c r="AK7" s="9">
        <f>AJ7/D7</f>
        <v>1.4268774703557312</v>
      </c>
      <c r="AL7" s="1">
        <v>1.1214018039962299</v>
      </c>
      <c r="AM7" s="1">
        <v>0.77700000000000002</v>
      </c>
      <c r="AN7" s="1">
        <v>2.8567238002423102E-2</v>
      </c>
      <c r="AO7" s="1">
        <v>0</v>
      </c>
      <c r="AP7" s="1">
        <v>0</v>
      </c>
    </row>
    <row r="8" spans="1:42" s="1" customFormat="1" x14ac:dyDescent="0.3">
      <c r="B8" s="1">
        <f>B6*0.95</f>
        <v>296.875</v>
      </c>
      <c r="C8" s="1">
        <v>5337</v>
      </c>
      <c r="D8" s="1">
        <v>31</v>
      </c>
      <c r="E8" s="8">
        <v>997</v>
      </c>
      <c r="F8" s="9">
        <v>94.358000000000004</v>
      </c>
      <c r="G8" s="9">
        <v>0.62618682990457797</v>
      </c>
      <c r="H8" s="9">
        <v>34.182000000000002</v>
      </c>
      <c r="I8" s="9">
        <f t="shared" si="0"/>
        <v>33.683049147442325</v>
      </c>
      <c r="J8" s="9">
        <f t="shared" si="4"/>
        <v>1.0865499724981396</v>
      </c>
      <c r="K8" s="9">
        <v>0.31198431083984002</v>
      </c>
      <c r="L8" s="9">
        <v>0.19</v>
      </c>
      <c r="M8" s="9">
        <v>1.8499790329683199E-2</v>
      </c>
      <c r="N8" s="9">
        <v>4.9459999999999997</v>
      </c>
      <c r="O8" s="10">
        <v>1.23789029092742E-2</v>
      </c>
      <c r="P8" s="8">
        <v>1000</v>
      </c>
      <c r="Q8" s="9">
        <v>77.98</v>
      </c>
      <c r="R8" s="9">
        <v>0.180088955885784</v>
      </c>
      <c r="S8" s="9">
        <v>32.784999999999997</v>
      </c>
      <c r="T8" s="9">
        <f t="shared" si="1"/>
        <v>32.784999999999997</v>
      </c>
      <c r="U8" s="9">
        <f t="shared" si="5"/>
        <v>1.0575806451612901</v>
      </c>
      <c r="V8" s="9">
        <v>5.99196575871839E-2</v>
      </c>
      <c r="W8" s="9">
        <v>5.5E-2</v>
      </c>
      <c r="X8" s="9">
        <v>8.4880531953473899E-3</v>
      </c>
      <c r="Y8" s="9">
        <v>1.9890000000000001</v>
      </c>
      <c r="Z8" s="10">
        <v>6.9948501004616099E-3</v>
      </c>
      <c r="AA8" s="51">
        <f>P8-E8</f>
        <v>3</v>
      </c>
      <c r="AB8" s="18">
        <f>L8-W8</f>
        <v>0.13500000000000001</v>
      </c>
      <c r="AC8" s="25">
        <f>AB8/L8</f>
        <v>0.71052631578947367</v>
      </c>
      <c r="AD8" s="9">
        <f>N8-Y8</f>
        <v>2.9569999999999999</v>
      </c>
      <c r="AE8" s="32">
        <f>AD8/N8</f>
        <v>0.59785685402345334</v>
      </c>
      <c r="AF8" s="1">
        <v>0</v>
      </c>
      <c r="AG8" s="1">
        <v>-1774.5409999999999</v>
      </c>
      <c r="AH8" s="1">
        <v>3.4082168741530001</v>
      </c>
      <c r="AI8" s="1">
        <v>200</v>
      </c>
      <c r="AJ8" s="9" t="e">
        <f t="shared" si="2"/>
        <v>#DIV/0!</v>
      </c>
      <c r="AK8" s="9" t="e">
        <f t="shared" ref="AK8:AK9" si="6">AJ8/D8</f>
        <v>#DIV/0!</v>
      </c>
      <c r="AL8" s="1">
        <v>0</v>
      </c>
      <c r="AM8" s="1">
        <v>0.92700000000000005</v>
      </c>
      <c r="AN8" s="1">
        <v>2.9334817734758999E-2</v>
      </c>
      <c r="AO8" s="1">
        <v>1E-3</v>
      </c>
      <c r="AP8" s="1">
        <v>1E-3</v>
      </c>
    </row>
    <row r="9" spans="1:42" s="1" customFormat="1" x14ac:dyDescent="0.3">
      <c r="C9" s="1">
        <v>6337</v>
      </c>
      <c r="D9" s="1">
        <v>16</v>
      </c>
      <c r="E9" s="8">
        <v>1000</v>
      </c>
      <c r="F9" s="9">
        <v>89.707999999999998</v>
      </c>
      <c r="G9" s="9">
        <v>0.15217717928090799</v>
      </c>
      <c r="H9" s="9">
        <v>16.95</v>
      </c>
      <c r="I9" s="9">
        <f t="shared" si="0"/>
        <v>16.95</v>
      </c>
      <c r="J9" s="9">
        <f t="shared" si="4"/>
        <v>1.059375</v>
      </c>
      <c r="K9" s="9">
        <v>4.3397965198651599E-2</v>
      </c>
      <c r="L9" s="9">
        <v>0.23100000000000001</v>
      </c>
      <c r="M9" s="9">
        <v>1.38503007487502E-2</v>
      </c>
      <c r="N9" s="9">
        <v>0.98399999999999999</v>
      </c>
      <c r="O9" s="10">
        <v>3.9698563903193904E-3</v>
      </c>
      <c r="P9" s="8">
        <v>1000</v>
      </c>
      <c r="Q9" s="9">
        <v>89.016000000000005</v>
      </c>
      <c r="R9" s="9">
        <v>0.151084647037912</v>
      </c>
      <c r="S9" s="9">
        <v>16.940000000000001</v>
      </c>
      <c r="T9" s="9">
        <f t="shared" si="1"/>
        <v>16.940000000000001</v>
      </c>
      <c r="U9" s="9">
        <f t="shared" si="5"/>
        <v>1.0587500000000001</v>
      </c>
      <c r="V9" s="9">
        <v>4.1037593546455399E-2</v>
      </c>
      <c r="W9" s="9">
        <v>0.14799999999999999</v>
      </c>
      <c r="X9" s="9">
        <v>1.15857770663098E-2</v>
      </c>
      <c r="Y9" s="9">
        <v>0.97599999999999998</v>
      </c>
      <c r="Z9" s="10">
        <v>4.8422564417270799E-3</v>
      </c>
      <c r="AA9" s="51">
        <f>P9-E9</f>
        <v>0</v>
      </c>
      <c r="AB9" s="18">
        <f>L9-W9</f>
        <v>8.3000000000000018E-2</v>
      </c>
      <c r="AC9" s="25">
        <f>AB9/L9</f>
        <v>0.35930735930735935</v>
      </c>
      <c r="AD9" s="9">
        <f>N9-Y9</f>
        <v>8.0000000000000071E-3</v>
      </c>
      <c r="AE9" s="32">
        <f>AD9/N9</f>
        <v>8.1300813008130159E-3</v>
      </c>
      <c r="AF9" s="1">
        <v>0</v>
      </c>
      <c r="AG9" s="1">
        <v>-198.28399999999999</v>
      </c>
      <c r="AH9" s="1">
        <v>0.140135519865078</v>
      </c>
      <c r="AI9" s="1">
        <v>200</v>
      </c>
      <c r="AJ9" s="9" t="e">
        <f t="shared" si="2"/>
        <v>#DIV/0!</v>
      </c>
      <c r="AK9" s="9" t="e">
        <f t="shared" si="6"/>
        <v>#DIV/0!</v>
      </c>
      <c r="AL9" s="1">
        <v>0</v>
      </c>
      <c r="AM9" s="1">
        <v>0.28599999999999998</v>
      </c>
      <c r="AN9" s="1">
        <v>2.3355919977513E-2</v>
      </c>
      <c r="AO9" s="1">
        <v>0</v>
      </c>
      <c r="AP9" s="1">
        <v>0</v>
      </c>
    </row>
    <row r="10" spans="1:42" x14ac:dyDescent="0.3">
      <c r="C10" t="s">
        <v>11</v>
      </c>
      <c r="E10" s="6">
        <f t="shared" ref="E10:Z10" si="7">AVERAGE(E4:E9)</f>
        <v>734</v>
      </c>
      <c r="F10" s="14">
        <f t="shared" si="7"/>
        <v>15.626500000000005</v>
      </c>
      <c r="G10" s="14">
        <f t="shared" si="7"/>
        <v>1.1441558320534313</v>
      </c>
      <c r="H10" s="14">
        <f t="shared" si="7"/>
        <v>76.542000000000002</v>
      </c>
      <c r="I10" s="14">
        <f t="shared" si="7"/>
        <v>52.549365318208622</v>
      </c>
      <c r="J10" s="14">
        <f t="shared" si="7"/>
        <v>2.377865125932876</v>
      </c>
      <c r="K10" s="14">
        <f t="shared" si="7"/>
        <v>0.4939507656140682</v>
      </c>
      <c r="L10" s="14">
        <f t="shared" si="7"/>
        <v>1.4953333333333332</v>
      </c>
      <c r="M10" s="14">
        <f t="shared" si="7"/>
        <v>2.8298500915246199E-2</v>
      </c>
      <c r="N10" s="14">
        <f t="shared" si="7"/>
        <v>3.1113333333333331</v>
      </c>
      <c r="O10" s="15">
        <f t="shared" si="7"/>
        <v>1.3600730466721897E-2</v>
      </c>
      <c r="P10" s="6">
        <f t="shared" si="7"/>
        <v>834</v>
      </c>
      <c r="Q10" s="14">
        <f t="shared" si="7"/>
        <v>38.345166666666671</v>
      </c>
      <c r="R10" s="14">
        <f t="shared" si="7"/>
        <v>0.23227077511050978</v>
      </c>
      <c r="S10" s="14">
        <f t="shared" si="7"/>
        <v>52.660333333333341</v>
      </c>
      <c r="T10" s="14">
        <f t="shared" ref="T10" si="8">AVERAGE(T4:T9)</f>
        <v>41.040333333333329</v>
      </c>
      <c r="U10" s="14" t="e">
        <f>S10/D10</f>
        <v>#DIV/0!</v>
      </c>
      <c r="V10" s="14">
        <f t="shared" si="7"/>
        <v>7.0434549467578836E-2</v>
      </c>
      <c r="W10" s="14">
        <f t="shared" si="7"/>
        <v>0.58600000000000008</v>
      </c>
      <c r="X10" s="14">
        <f t="shared" si="7"/>
        <v>1.5889666926922934E-2</v>
      </c>
      <c r="Y10" s="14">
        <f t="shared" si="7"/>
        <v>1.0278333333333334</v>
      </c>
      <c r="Z10" s="15">
        <f t="shared" si="7"/>
        <v>1.0666061347909622E-2</v>
      </c>
      <c r="AA10" s="53">
        <f>P10-E10</f>
        <v>100</v>
      </c>
      <c r="AB10" s="20">
        <f>L10-W10</f>
        <v>0.9093333333333331</v>
      </c>
      <c r="AC10" s="27">
        <f>AB10/L10</f>
        <v>0.60811413285777971</v>
      </c>
      <c r="AD10" s="14">
        <f>N10-Y10</f>
        <v>2.0834999999999999</v>
      </c>
      <c r="AE10" s="34">
        <f>AD10/N10</f>
        <v>0.66964859652881936</v>
      </c>
      <c r="AI10">
        <f>200-AI11</f>
        <v>2.5853333333333239</v>
      </c>
      <c r="AJ10" s="14" t="e">
        <f t="shared" ref="AJ10:AK10" si="9">AVERAGE(AJ4:AJ9)</f>
        <v>#DIV/0!</v>
      </c>
      <c r="AK10" s="14" t="e">
        <f t="shared" si="9"/>
        <v>#DIV/0!</v>
      </c>
      <c r="AL10">
        <f>AI10*46</f>
        <v>118.9253333333329</v>
      </c>
      <c r="AM10">
        <f>AL10/22</f>
        <v>5.4056969696969501</v>
      </c>
    </row>
    <row r="11" spans="1:42" x14ac:dyDescent="0.3">
      <c r="E11" s="14">
        <f t="shared" ref="E11:Z11" si="10">AVERAGE(E7:E9,E4)</f>
        <v>999</v>
      </c>
      <c r="F11" s="14">
        <f t="shared" si="10"/>
        <v>92.565500000000014</v>
      </c>
      <c r="G11" s="14">
        <f t="shared" si="10"/>
        <v>0.33434749776280703</v>
      </c>
      <c r="H11" s="14">
        <f t="shared" si="10"/>
        <v>23.983000000000001</v>
      </c>
      <c r="I11" s="14">
        <f>(I7*E7+I8*E8+I9*E9+I4*E4)/(E4+E7+E8+E9)</f>
        <v>23.806806806806808</v>
      </c>
      <c r="J11" s="14">
        <f t="shared" si="10"/>
        <v>1.0916246289345872</v>
      </c>
      <c r="K11" s="14">
        <f t="shared" si="10"/>
        <v>0.14930184428395726</v>
      </c>
      <c r="L11" s="14">
        <f t="shared" si="10"/>
        <v>0.52949999999999997</v>
      </c>
      <c r="M11" s="14">
        <f t="shared" si="10"/>
        <v>1.7783348665541401E-2</v>
      </c>
      <c r="N11" s="14">
        <f t="shared" si="10"/>
        <v>2.4517500000000001</v>
      </c>
      <c r="O11" s="15">
        <f t="shared" si="10"/>
        <v>7.7852097019789224E-3</v>
      </c>
      <c r="P11" s="20">
        <f t="shared" si="10"/>
        <v>1000</v>
      </c>
      <c r="Q11" s="14">
        <f t="shared" si="10"/>
        <v>83.013250000000014</v>
      </c>
      <c r="R11" s="14">
        <f t="shared" si="10"/>
        <v>0.16469905015423225</v>
      </c>
      <c r="S11" s="14">
        <f t="shared" si="10"/>
        <v>23.203749999999999</v>
      </c>
      <c r="T11" s="14">
        <f>(T7*P7+T8*P8+T9*P9+T4*P4)/(P4+P7+P8+P9)</f>
        <v>23.203749999999999</v>
      </c>
      <c r="U11" s="14">
        <f t="shared" si="10"/>
        <v>1.067628115835777</v>
      </c>
      <c r="V11" s="14">
        <f t="shared" si="10"/>
        <v>5.4408525856520125E-2</v>
      </c>
      <c r="W11" s="14">
        <f t="shared" si="10"/>
        <v>0.30149999999999999</v>
      </c>
      <c r="X11" s="14">
        <f t="shared" si="10"/>
        <v>1.3612694843502315E-2</v>
      </c>
      <c r="Y11" s="14">
        <f t="shared" si="10"/>
        <v>0.87350000000000005</v>
      </c>
      <c r="Z11" s="15">
        <f t="shared" si="10"/>
        <v>9.5513266435343219E-3</v>
      </c>
      <c r="AA11" s="53"/>
      <c r="AB11" s="20"/>
      <c r="AC11" s="27"/>
      <c r="AD11" s="14"/>
      <c r="AE11" s="34"/>
      <c r="AF11">
        <f>AVERAGE(AF7:AF9)</f>
        <v>15.333333333333334</v>
      </c>
      <c r="AG11">
        <f t="shared" ref="AG11:AP11" si="11">AVERAGE(AG7:AG9)</f>
        <v>-948.07299999999998</v>
      </c>
      <c r="AH11">
        <f t="shared" si="11"/>
        <v>7.4654448486115257</v>
      </c>
      <c r="AI11">
        <f t="shared" si="11"/>
        <v>197.41466666666668</v>
      </c>
      <c r="AJ11" s="14" t="e">
        <f>(AJ7*AF7+AJ8*AF8+AJ9*AF9+AJ4*AF4)/(AF4+AF7+AF8+AF9)</f>
        <v>#DIV/0!</v>
      </c>
      <c r="AK11" s="14" t="e">
        <f t="shared" ref="AK11" si="12">AVERAGE(AK7:AK9,AK4)</f>
        <v>#DIV/0!</v>
      </c>
      <c r="AL11">
        <f t="shared" si="11"/>
        <v>0.37380060133207665</v>
      </c>
      <c r="AM11">
        <f t="shared" si="11"/>
        <v>0.66333333333333344</v>
      </c>
      <c r="AN11">
        <f t="shared" si="11"/>
        <v>2.7085991904898368E-2</v>
      </c>
      <c r="AO11">
        <f t="shared" si="11"/>
        <v>3.3333333333333332E-4</v>
      </c>
      <c r="AP11">
        <f t="shared" si="11"/>
        <v>3.3333333333333332E-4</v>
      </c>
    </row>
    <row r="12" spans="1:42" s="1" customFormat="1" x14ac:dyDescent="0.3">
      <c r="B12" s="1" t="s">
        <v>3</v>
      </c>
      <c r="C12" s="1">
        <v>1337</v>
      </c>
      <c r="D12" s="1">
        <v>18</v>
      </c>
      <c r="E12" s="8">
        <v>989</v>
      </c>
      <c r="F12" s="9">
        <v>76.415999999999997</v>
      </c>
      <c r="G12" s="9">
        <v>6.5206651515024099</v>
      </c>
      <c r="H12" s="9">
        <v>21.018999999999998</v>
      </c>
      <c r="I12" s="9">
        <f t="shared" ref="I12:I17" si="13">(H12*1000-200*(1000-E12))/E12</f>
        <v>19.028311425682507</v>
      </c>
      <c r="J12" s="9">
        <f>I12/D12</f>
        <v>1.057128412537917</v>
      </c>
      <c r="K12" s="9">
        <v>0.59877305230626998</v>
      </c>
      <c r="L12" s="3" t="s">
        <v>16</v>
      </c>
      <c r="M12" s="3" t="s">
        <v>16</v>
      </c>
      <c r="N12" s="9">
        <v>2.9510000000000001</v>
      </c>
      <c r="O12" s="10">
        <v>8.2865956621321693E-3</v>
      </c>
      <c r="P12" s="8">
        <v>1000</v>
      </c>
      <c r="Q12" s="9">
        <v>86.652000000000001</v>
      </c>
      <c r="R12" s="9">
        <v>0.13883144517784901</v>
      </c>
      <c r="S12" s="9">
        <v>19.225999999999999</v>
      </c>
      <c r="T12" s="9">
        <f t="shared" ref="T12:T17" si="14">(S12*1000-200*(1000-P12))/P12</f>
        <v>19.225999999999999</v>
      </c>
      <c r="U12" s="9">
        <f>T12/D12</f>
        <v>1.068111111111111</v>
      </c>
      <c r="V12" s="9">
        <v>5.7290542031003699E-2</v>
      </c>
      <c r="W12" s="3" t="s">
        <v>16</v>
      </c>
      <c r="X12" s="3" t="s">
        <v>16</v>
      </c>
      <c r="Y12" s="9">
        <v>1.0589999999999999</v>
      </c>
      <c r="Z12" s="10">
        <v>7.4548356504066902E-3</v>
      </c>
      <c r="AA12" s="51">
        <f>P12-E12</f>
        <v>11</v>
      </c>
      <c r="AB12" s="21" t="s">
        <v>16</v>
      </c>
      <c r="AC12" s="28"/>
      <c r="AD12" s="9">
        <f>N12-Y12</f>
        <v>1.8920000000000001</v>
      </c>
      <c r="AE12" s="35">
        <f>AD12/N12</f>
        <v>0.64113859708573373</v>
      </c>
      <c r="AF12" s="1">
        <v>0</v>
      </c>
      <c r="AG12" s="1">
        <v>-194</v>
      </c>
      <c r="AH12" s="1">
        <v>0</v>
      </c>
      <c r="AI12" s="1">
        <v>200</v>
      </c>
      <c r="AJ12" s="9" t="e">
        <f t="shared" ref="AJ12:AJ17" si="15">(AI12*1000-200*(1000-AF12))/AF12</f>
        <v>#DIV/0!</v>
      </c>
      <c r="AK12" s="9" t="e">
        <f t="shared" ref="AK12:AK17" si="16">AJ12/D12</f>
        <v>#DIV/0!</v>
      </c>
      <c r="AL12" s="1">
        <v>0</v>
      </c>
      <c r="AM12" s="1">
        <v>0</v>
      </c>
      <c r="AN12" s="1">
        <v>0</v>
      </c>
      <c r="AO12" s="1">
        <v>1</v>
      </c>
      <c r="AP12" s="1">
        <v>0</v>
      </c>
    </row>
    <row r="13" spans="1:42" s="2" customFormat="1" x14ac:dyDescent="0.3">
      <c r="B13" s="2" t="s">
        <v>22</v>
      </c>
      <c r="C13" s="2">
        <v>2337</v>
      </c>
      <c r="D13" s="2">
        <v>25</v>
      </c>
      <c r="E13" s="11">
        <v>999</v>
      </c>
      <c r="F13" s="12">
        <v>99.573999999999998</v>
      </c>
      <c r="G13" s="12">
        <v>0.35301436676591902</v>
      </c>
      <c r="H13" s="12">
        <v>28.780999999999999</v>
      </c>
      <c r="I13" s="12">
        <f t="shared" si="13"/>
        <v>28.60960960960961</v>
      </c>
      <c r="J13" s="9">
        <f t="shared" ref="J13:J17" si="17">I13/D13</f>
        <v>1.1443843843843844</v>
      </c>
      <c r="K13" s="12">
        <v>0.18062021664991601</v>
      </c>
      <c r="L13" s="4" t="s">
        <v>16</v>
      </c>
      <c r="M13" s="4" t="s">
        <v>16</v>
      </c>
      <c r="N13" s="12">
        <v>5.0110000000000001</v>
      </c>
      <c r="O13" s="13">
        <v>6.9948501004616099E-3</v>
      </c>
      <c r="P13" s="11">
        <v>6</v>
      </c>
      <c r="Q13" s="12">
        <v>-197.428</v>
      </c>
      <c r="R13" s="12">
        <v>1.3737656452423199</v>
      </c>
      <c r="S13" s="12">
        <v>199.83099999999999</v>
      </c>
      <c r="T13" s="12">
        <f t="shared" si="14"/>
        <v>171.83333333333334</v>
      </c>
      <c r="U13" s="9">
        <f t="shared" ref="U13:U17" si="18">T13/D13</f>
        <v>6.873333333333334</v>
      </c>
      <c r="V13" s="12">
        <v>9.3118795686532099E-2</v>
      </c>
      <c r="W13" s="4" t="s">
        <v>16</v>
      </c>
      <c r="X13" s="4" t="s">
        <v>16</v>
      </c>
      <c r="Y13" s="12">
        <v>1.8009999999999999</v>
      </c>
      <c r="Z13" s="13">
        <v>3.3324308087483302E-2</v>
      </c>
      <c r="AA13" s="52">
        <f>P13-E13</f>
        <v>-993</v>
      </c>
      <c r="AB13" s="22" t="s">
        <v>16</v>
      </c>
      <c r="AC13" s="29"/>
      <c r="AD13" s="12">
        <f>N13-Y13</f>
        <v>3.21</v>
      </c>
      <c r="AE13" s="36">
        <f>AD13/N13</f>
        <v>0.64059070045899025</v>
      </c>
      <c r="AJ13" s="12" t="e">
        <f t="shared" si="15"/>
        <v>#DIV/0!</v>
      </c>
      <c r="AK13" s="9" t="e">
        <f t="shared" si="16"/>
        <v>#DIV/0!</v>
      </c>
    </row>
    <row r="14" spans="1:42" s="1" customFormat="1" x14ac:dyDescent="0.3">
      <c r="C14" s="1">
        <v>3337</v>
      </c>
      <c r="D14" s="1">
        <v>20</v>
      </c>
      <c r="E14" s="8">
        <v>985</v>
      </c>
      <c r="F14" s="9">
        <v>100.73099999999999</v>
      </c>
      <c r="G14" s="9">
        <v>1.3891487945405101</v>
      </c>
      <c r="H14" s="9">
        <v>54.575000000000003</v>
      </c>
      <c r="I14" s="12">
        <f t="shared" si="13"/>
        <v>52.360406091370557</v>
      </c>
      <c r="J14" s="9">
        <f t="shared" si="17"/>
        <v>2.6180203045685277</v>
      </c>
      <c r="K14" s="9">
        <v>0.78922446125943801</v>
      </c>
      <c r="L14" s="3" t="s">
        <v>16</v>
      </c>
      <c r="M14" s="3" t="s">
        <v>16</v>
      </c>
      <c r="N14" s="9">
        <v>9.8719999999999999</v>
      </c>
      <c r="O14" s="10">
        <v>3.02742883076139E-2</v>
      </c>
      <c r="P14" s="8">
        <v>998</v>
      </c>
      <c r="Q14" s="9">
        <v>76.83</v>
      </c>
      <c r="R14" s="9">
        <v>0.52726189422819503</v>
      </c>
      <c r="S14" s="9">
        <v>22.57</v>
      </c>
      <c r="T14" s="12">
        <f t="shared" si="14"/>
        <v>22.214428857715429</v>
      </c>
      <c r="U14" s="9">
        <f t="shared" si="18"/>
        <v>1.1107214428857715</v>
      </c>
      <c r="V14" s="9">
        <v>0.35036531771260598</v>
      </c>
      <c r="W14" s="3" t="s">
        <v>16</v>
      </c>
      <c r="X14" s="3" t="s">
        <v>16</v>
      </c>
      <c r="Y14" s="9">
        <v>4.2999999999999997E-2</v>
      </c>
      <c r="Z14" s="10">
        <v>7.8238233755761697E-3</v>
      </c>
      <c r="AA14" s="51">
        <f>P14-E14</f>
        <v>13</v>
      </c>
      <c r="AB14" s="21" t="s">
        <v>16</v>
      </c>
      <c r="AC14" s="28"/>
      <c r="AD14" s="9">
        <f>N14-Y14</f>
        <v>9.8290000000000006</v>
      </c>
      <c r="AE14" s="35">
        <f>AD14/N14</f>
        <v>0.9956442463533226</v>
      </c>
      <c r="AF14" s="1">
        <v>0</v>
      </c>
      <c r="AG14" s="1">
        <v>-200</v>
      </c>
      <c r="AH14" s="1">
        <v>0</v>
      </c>
      <c r="AI14" s="1">
        <v>200</v>
      </c>
      <c r="AJ14" s="12" t="e">
        <f t="shared" si="15"/>
        <v>#DIV/0!</v>
      </c>
      <c r="AK14" s="9" t="e">
        <f t="shared" si="16"/>
        <v>#DIV/0!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</row>
    <row r="15" spans="1:42" s="1" customFormat="1" x14ac:dyDescent="0.3">
      <c r="C15" s="1">
        <v>4337</v>
      </c>
      <c r="D15" s="1">
        <v>22</v>
      </c>
      <c r="E15" s="8">
        <v>998</v>
      </c>
      <c r="F15" s="9">
        <v>89.051000000000002</v>
      </c>
      <c r="G15" s="9">
        <v>0.65701603410348297</v>
      </c>
      <c r="H15" s="9">
        <v>27.542000000000002</v>
      </c>
      <c r="I15" s="9">
        <f t="shared" si="13"/>
        <v>27.196392785571142</v>
      </c>
      <c r="J15" s="9">
        <f t="shared" si="17"/>
        <v>1.2361996720714155</v>
      </c>
      <c r="K15" s="9">
        <v>0.48707646163562401</v>
      </c>
      <c r="L15" s="3" t="s">
        <v>16</v>
      </c>
      <c r="M15" s="3" t="s">
        <v>16</v>
      </c>
      <c r="N15" s="9">
        <v>2.7869999999999999</v>
      </c>
      <c r="O15" s="10">
        <v>1.5996464824669401E-2</v>
      </c>
      <c r="P15" s="8">
        <v>1000</v>
      </c>
      <c r="Q15" s="9">
        <v>75.176000000000002</v>
      </c>
      <c r="R15" s="9">
        <v>0.11787671067229</v>
      </c>
      <c r="S15" s="9">
        <v>24.992999999999999</v>
      </c>
      <c r="T15" s="9">
        <f t="shared" si="14"/>
        <v>24.992999999999999</v>
      </c>
      <c r="U15" s="9">
        <f t="shared" si="18"/>
        <v>1.1360454545454546</v>
      </c>
      <c r="V15" s="9">
        <v>4.8839905163056301E-2</v>
      </c>
      <c r="W15" s="3" t="s">
        <v>16</v>
      </c>
      <c r="X15" s="3" t="s">
        <v>16</v>
      </c>
      <c r="Y15" s="9">
        <v>2.5000000000000001E-2</v>
      </c>
      <c r="Z15" s="10">
        <v>4.93957481969849E-3</v>
      </c>
      <c r="AA15" s="51">
        <f>P15-E15</f>
        <v>2</v>
      </c>
      <c r="AB15" s="21" t="s">
        <v>16</v>
      </c>
      <c r="AC15" s="28"/>
      <c r="AD15" s="9">
        <f>N15-Y15</f>
        <v>2.762</v>
      </c>
      <c r="AE15" s="35">
        <f>AD15/N15</f>
        <v>0.99102978112665951</v>
      </c>
      <c r="AF15" s="1">
        <v>0</v>
      </c>
      <c r="AG15" s="1">
        <v>-200</v>
      </c>
      <c r="AH15" s="1">
        <v>0</v>
      </c>
      <c r="AI15" s="1">
        <v>200</v>
      </c>
      <c r="AJ15" s="9" t="e">
        <f t="shared" si="15"/>
        <v>#DIV/0!</v>
      </c>
      <c r="AK15" s="9" t="e">
        <f t="shared" si="16"/>
        <v>#DIV/0!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</row>
    <row r="16" spans="1:42" s="2" customFormat="1" x14ac:dyDescent="0.3">
      <c r="C16" s="2">
        <v>5337</v>
      </c>
      <c r="D16" s="2">
        <v>31</v>
      </c>
      <c r="E16" s="11">
        <v>1</v>
      </c>
      <c r="F16" s="12">
        <v>-230.399</v>
      </c>
      <c r="G16" s="12">
        <v>2.94883289021511</v>
      </c>
      <c r="H16" s="12">
        <v>199.98099999999999</v>
      </c>
      <c r="I16" s="9">
        <f t="shared" si="13"/>
        <v>181</v>
      </c>
      <c r="J16" s="9">
        <f t="shared" si="17"/>
        <v>5.838709677419355</v>
      </c>
      <c r="K16" s="12">
        <v>1.9E-2</v>
      </c>
      <c r="L16" s="4" t="s">
        <v>16</v>
      </c>
      <c r="M16" s="4" t="s">
        <v>16</v>
      </c>
      <c r="N16" s="12">
        <v>4.2000000000000003E-2</v>
      </c>
      <c r="O16" s="13">
        <v>1.32820334441836E-2</v>
      </c>
      <c r="P16" s="11">
        <v>1000</v>
      </c>
      <c r="Q16" s="12">
        <v>78.346000000000004</v>
      </c>
      <c r="R16" s="12">
        <v>0.175348313453625</v>
      </c>
      <c r="S16" s="12">
        <v>32.863</v>
      </c>
      <c r="T16" s="9">
        <f t="shared" si="14"/>
        <v>32.863</v>
      </c>
      <c r="U16" s="9">
        <f t="shared" si="18"/>
        <v>1.0600967741935483</v>
      </c>
      <c r="V16" s="12">
        <v>6.2322669351650102E-2</v>
      </c>
      <c r="W16" s="4" t="s">
        <v>16</v>
      </c>
      <c r="X16" s="4" t="s">
        <v>16</v>
      </c>
      <c r="Y16" s="12">
        <v>2.0750000000000002</v>
      </c>
      <c r="Z16" s="13">
        <v>1.06530976006271E-2</v>
      </c>
      <c r="AA16" s="52">
        <f>P16-E16</f>
        <v>999</v>
      </c>
      <c r="AB16" s="22" t="s">
        <v>16</v>
      </c>
      <c r="AC16" s="29"/>
      <c r="AD16" s="12">
        <f>N16-Y16</f>
        <v>-2.0330000000000004</v>
      </c>
      <c r="AE16" s="36">
        <f>AD16/N16</f>
        <v>-48.404761904761912</v>
      </c>
      <c r="AJ16" s="9" t="e">
        <f t="shared" si="15"/>
        <v>#DIV/0!</v>
      </c>
      <c r="AK16" s="9" t="e">
        <f t="shared" si="16"/>
        <v>#DIV/0!</v>
      </c>
    </row>
    <row r="17" spans="2:42" s="1" customFormat="1" x14ac:dyDescent="0.3">
      <c r="C17" s="1">
        <v>6337</v>
      </c>
      <c r="D17" s="1">
        <v>16</v>
      </c>
      <c r="E17" s="8">
        <v>1000</v>
      </c>
      <c r="F17" s="9">
        <v>92.99</v>
      </c>
      <c r="G17" s="9">
        <v>1.3889121559612601</v>
      </c>
      <c r="H17" s="9">
        <v>17.073</v>
      </c>
      <c r="I17" s="9">
        <f t="shared" si="13"/>
        <v>17.073</v>
      </c>
      <c r="J17" s="9">
        <f t="shared" si="17"/>
        <v>1.0670625</v>
      </c>
      <c r="K17" s="9">
        <v>0.14740895630998899</v>
      </c>
      <c r="L17" s="3" t="s">
        <v>16</v>
      </c>
      <c r="M17" s="3" t="s">
        <v>16</v>
      </c>
      <c r="N17" s="9">
        <v>1.992</v>
      </c>
      <c r="O17" s="10">
        <v>2.81850030050449E-3</v>
      </c>
      <c r="P17" s="8">
        <v>1000</v>
      </c>
      <c r="Q17" s="9">
        <v>85.658000000000001</v>
      </c>
      <c r="R17" s="9">
        <v>0.17197852369587399</v>
      </c>
      <c r="S17" s="9">
        <v>19.193999999999999</v>
      </c>
      <c r="T17" s="9">
        <f t="shared" si="14"/>
        <v>19.193999999999999</v>
      </c>
      <c r="U17" s="9">
        <f t="shared" si="18"/>
        <v>1.1996249999999999</v>
      </c>
      <c r="V17" s="9">
        <v>4.8235782264732498E-2</v>
      </c>
      <c r="W17" s="3" t="s">
        <v>16</v>
      </c>
      <c r="X17" s="3" t="s">
        <v>16</v>
      </c>
      <c r="Y17" s="9">
        <v>1.0049999999999999</v>
      </c>
      <c r="Z17" s="10">
        <v>5.5683036919699303E-3</v>
      </c>
      <c r="AA17" s="51">
        <f>P17-E17</f>
        <v>0</v>
      </c>
      <c r="AB17" s="21"/>
      <c r="AC17" s="28"/>
      <c r="AD17" s="9">
        <f>N17-Y17</f>
        <v>0.9870000000000001</v>
      </c>
      <c r="AE17" s="35">
        <f>AD17/N17</f>
        <v>0.49548192771084343</v>
      </c>
      <c r="AF17" s="1">
        <v>0</v>
      </c>
      <c r="AG17" s="1">
        <v>-194</v>
      </c>
      <c r="AH17" s="1">
        <v>0</v>
      </c>
      <c r="AI17" s="1">
        <v>200</v>
      </c>
      <c r="AJ17" s="9" t="e">
        <f t="shared" si="15"/>
        <v>#DIV/0!</v>
      </c>
      <c r="AK17" s="9" t="e">
        <f t="shared" si="16"/>
        <v>#DIV/0!</v>
      </c>
      <c r="AL17" s="1">
        <v>0</v>
      </c>
      <c r="AM17" s="1">
        <v>0</v>
      </c>
      <c r="AN17" s="1">
        <v>0</v>
      </c>
      <c r="AO17" s="1">
        <v>1</v>
      </c>
      <c r="AP17" s="1">
        <v>0</v>
      </c>
    </row>
    <row r="18" spans="2:42" x14ac:dyDescent="0.3">
      <c r="C18" t="s">
        <v>11</v>
      </c>
      <c r="E18" s="6">
        <f t="shared" ref="E18:S18" si="19">AVERAGE(E12:E17)</f>
        <v>828.66666666666663</v>
      </c>
      <c r="F18" s="14">
        <f t="shared" si="19"/>
        <v>38.060499999999998</v>
      </c>
      <c r="G18" s="14">
        <f t="shared" si="19"/>
        <v>2.2095982321814485</v>
      </c>
      <c r="H18" s="14">
        <f t="shared" si="19"/>
        <v>58.161833333333334</v>
      </c>
      <c r="I18" s="14"/>
      <c r="J18" s="14">
        <f t="shared" si="19"/>
        <v>2.1602508251636001</v>
      </c>
      <c r="K18" s="14">
        <f t="shared" si="19"/>
        <v>0.37035052469353952</v>
      </c>
      <c r="L18" s="14" t="e">
        <f t="shared" si="19"/>
        <v>#DIV/0!</v>
      </c>
      <c r="M18" s="14" t="e">
        <f t="shared" si="19"/>
        <v>#DIV/0!</v>
      </c>
      <c r="N18" s="14">
        <f t="shared" si="19"/>
        <v>3.7758333333333334</v>
      </c>
      <c r="O18" s="15">
        <f t="shared" si="19"/>
        <v>1.2942122106594194E-2</v>
      </c>
      <c r="P18" s="6">
        <f t="shared" si="19"/>
        <v>834</v>
      </c>
      <c r="Q18" s="14">
        <f t="shared" si="19"/>
        <v>34.205666666666666</v>
      </c>
      <c r="R18" s="14">
        <f t="shared" si="19"/>
        <v>0.41751042207835881</v>
      </c>
      <c r="S18" s="14">
        <f t="shared" si="19"/>
        <v>53.112833333333334</v>
      </c>
      <c r="T18" s="14"/>
      <c r="U18" s="14" t="e">
        <f>S18/D18</f>
        <v>#DIV/0!</v>
      </c>
      <c r="V18" s="14">
        <f t="shared" ref="V18:Z18" si="20">AVERAGE(V12:V17)</f>
        <v>0.11002883536826343</v>
      </c>
      <c r="W18" s="14" t="e">
        <f t="shared" si="20"/>
        <v>#DIV/0!</v>
      </c>
      <c r="X18" s="14" t="e">
        <f t="shared" si="20"/>
        <v>#DIV/0!</v>
      </c>
      <c r="Y18" s="14">
        <f t="shared" si="20"/>
        <v>1.0013333333333334</v>
      </c>
      <c r="Z18" s="15">
        <f t="shared" si="20"/>
        <v>1.162732387096028E-2</v>
      </c>
      <c r="AA18" s="53">
        <f>P18-E18</f>
        <v>5.3333333333333712</v>
      </c>
      <c r="AB18" s="20" t="e">
        <f>L18-W18</f>
        <v>#DIV/0!</v>
      </c>
      <c r="AC18" s="27" t="e">
        <f>AB18/L18</f>
        <v>#DIV/0!</v>
      </c>
      <c r="AD18" s="14">
        <f>N18-Y18</f>
        <v>2.7744999999999997</v>
      </c>
      <c r="AE18" s="34">
        <f>AD18/N18</f>
        <v>0.73480467887883461</v>
      </c>
      <c r="AJ18" s="14"/>
      <c r="AK18" s="14" t="e">
        <f t="shared" ref="AK18" si="21">AVERAGE(AK12:AK17)</f>
        <v>#DIV/0!</v>
      </c>
      <c r="AO18" s="14">
        <f>AVERAGE(AO12:AO17)</f>
        <v>0.5</v>
      </c>
    </row>
    <row r="19" spans="2:42" x14ac:dyDescent="0.3">
      <c r="E19" s="14">
        <f t="shared" ref="E19:Z19" si="22">AVERAGE(E17,E15,E14,E12)</f>
        <v>993</v>
      </c>
      <c r="F19" s="14">
        <f t="shared" si="22"/>
        <v>89.796999999999997</v>
      </c>
      <c r="G19" s="14">
        <f t="shared" si="22"/>
        <v>2.4889355340269157</v>
      </c>
      <c r="H19" s="14">
        <f t="shared" si="22"/>
        <v>30.052250000000001</v>
      </c>
      <c r="I19" s="14"/>
      <c r="J19" s="14">
        <f t="shared" si="22"/>
        <v>1.4946027222944651</v>
      </c>
      <c r="K19" s="14">
        <f t="shared" si="22"/>
        <v>0.50562073287783027</v>
      </c>
      <c r="L19" s="14" t="e">
        <f t="shared" si="22"/>
        <v>#DIV/0!</v>
      </c>
      <c r="M19" s="14" t="e">
        <f t="shared" si="22"/>
        <v>#DIV/0!</v>
      </c>
      <c r="N19" s="14">
        <f t="shared" si="22"/>
        <v>4.4005000000000001</v>
      </c>
      <c r="O19" s="15">
        <f t="shared" si="22"/>
        <v>1.434396227372999E-2</v>
      </c>
      <c r="P19" s="20">
        <f t="shared" si="22"/>
        <v>999.5</v>
      </c>
      <c r="Q19" s="14">
        <f t="shared" si="22"/>
        <v>81.078999999999994</v>
      </c>
      <c r="R19" s="14">
        <f t="shared" si="22"/>
        <v>0.23898714344355199</v>
      </c>
      <c r="S19" s="14">
        <f t="shared" si="22"/>
        <v>21.495750000000001</v>
      </c>
      <c r="T19" s="14"/>
      <c r="U19" s="14">
        <f t="shared" si="22"/>
        <v>1.1286257521355842</v>
      </c>
      <c r="V19" s="14">
        <f t="shared" si="22"/>
        <v>0.12618288679284961</v>
      </c>
      <c r="W19" s="14" t="e">
        <f t="shared" si="22"/>
        <v>#DIV/0!</v>
      </c>
      <c r="X19" s="14" t="e">
        <f t="shared" si="22"/>
        <v>#DIV/0!</v>
      </c>
      <c r="Y19" s="14">
        <f t="shared" si="22"/>
        <v>0.53299999999999992</v>
      </c>
      <c r="Z19" s="15">
        <f t="shared" si="22"/>
        <v>6.4466343844128199E-3</v>
      </c>
      <c r="AA19" s="53"/>
      <c r="AB19" s="20"/>
      <c r="AC19" s="27"/>
      <c r="AD19" s="14"/>
      <c r="AE19" s="34"/>
      <c r="AJ19" s="14"/>
      <c r="AK19" s="14" t="e">
        <f t="shared" ref="AK19" si="23">AVERAGE(AK17,AK15,AK14,AK12)</f>
        <v>#DIV/0!</v>
      </c>
    </row>
    <row r="20" spans="2:42" s="1" customFormat="1" x14ac:dyDescent="0.3">
      <c r="B20" s="1" t="s">
        <v>19</v>
      </c>
      <c r="C20" s="1">
        <v>1337</v>
      </c>
      <c r="D20" s="1">
        <v>18</v>
      </c>
      <c r="E20" s="8">
        <v>1000</v>
      </c>
      <c r="F20" s="9">
        <v>80.489999999999995</v>
      </c>
      <c r="G20" s="9">
        <v>0.133991991752693</v>
      </c>
      <c r="H20" s="9">
        <v>18.998000000000001</v>
      </c>
      <c r="I20" s="9">
        <f t="shared" ref="I20:I25" si="24">(H20*1000-200*(1000-E20))/E20</f>
        <v>18.998000000000001</v>
      </c>
      <c r="J20" s="9">
        <f>I20/D20</f>
        <v>1.0554444444444444</v>
      </c>
      <c r="K20" s="9">
        <v>4.2893307587965598E-2</v>
      </c>
      <c r="L20" s="3" t="s">
        <v>16</v>
      </c>
      <c r="M20" s="3" t="s">
        <v>16</v>
      </c>
      <c r="N20" s="3" t="s">
        <v>16</v>
      </c>
      <c r="O20" s="57" t="s">
        <v>16</v>
      </c>
      <c r="P20" s="8">
        <v>1000</v>
      </c>
      <c r="Q20" s="9">
        <v>80.406000000000006</v>
      </c>
      <c r="R20" s="9">
        <v>0.15216543075980901</v>
      </c>
      <c r="S20" s="9">
        <v>18.911000000000001</v>
      </c>
      <c r="T20" s="9">
        <f t="shared" ref="T20:T25" si="25">(S20*1000-200*(1000-P20))/P20</f>
        <v>18.911000000000001</v>
      </c>
      <c r="U20" s="9">
        <f>T20/D20</f>
        <v>1.0506111111111112</v>
      </c>
      <c r="V20" s="9">
        <v>4.2081466821509997E-2</v>
      </c>
      <c r="W20" s="3" t="s">
        <v>16</v>
      </c>
      <c r="X20" s="3" t="s">
        <v>16</v>
      </c>
      <c r="Y20" s="3" t="s">
        <v>16</v>
      </c>
      <c r="Z20" s="57" t="s">
        <v>16</v>
      </c>
      <c r="AA20" s="58">
        <f>P20-E20</f>
        <v>0</v>
      </c>
      <c r="AB20" s="21" t="s">
        <v>16</v>
      </c>
      <c r="AC20" s="28" t="s">
        <v>16</v>
      </c>
      <c r="AD20" s="3" t="s">
        <v>16</v>
      </c>
      <c r="AE20" s="35" t="s">
        <v>16</v>
      </c>
      <c r="AJ20" s="9" t="e">
        <f t="shared" ref="AJ20:AJ25" si="26">(AI20*1000-200*(1000-AF20))/AF20</f>
        <v>#DIV/0!</v>
      </c>
      <c r="AK20" s="9" t="e">
        <f t="shared" ref="AK20:AK25" si="27">AJ20/D20</f>
        <v>#DIV/0!</v>
      </c>
    </row>
    <row r="21" spans="2:42" s="2" customFormat="1" x14ac:dyDescent="0.3">
      <c r="B21" s="2" t="s">
        <v>21</v>
      </c>
      <c r="C21" s="2">
        <v>2337</v>
      </c>
      <c r="D21" s="2">
        <v>25</v>
      </c>
      <c r="E21" s="11">
        <v>0</v>
      </c>
      <c r="F21" s="12">
        <v>-225.61199999999999</v>
      </c>
      <c r="G21" s="12">
        <v>0.49164972830243198</v>
      </c>
      <c r="H21" s="12">
        <v>200</v>
      </c>
      <c r="I21" s="12" t="e">
        <f t="shared" si="24"/>
        <v>#DIV/0!</v>
      </c>
      <c r="J21" s="9" t="e">
        <f t="shared" ref="J21:J25" si="28">I21/D21</f>
        <v>#DIV/0!</v>
      </c>
      <c r="K21" s="12">
        <v>0</v>
      </c>
      <c r="L21" s="4" t="s">
        <v>16</v>
      </c>
      <c r="M21" s="4" t="s">
        <v>16</v>
      </c>
      <c r="N21" s="4" t="s">
        <v>16</v>
      </c>
      <c r="O21" s="55" t="s">
        <v>16</v>
      </c>
      <c r="P21" s="11">
        <v>0</v>
      </c>
      <c r="Q21" s="12">
        <v>-223.33699999999999</v>
      </c>
      <c r="R21" s="12">
        <v>0.46347841723562799</v>
      </c>
      <c r="S21" s="12">
        <v>200</v>
      </c>
      <c r="T21" s="12" t="e">
        <f t="shared" si="25"/>
        <v>#DIV/0!</v>
      </c>
      <c r="U21" s="9" t="e">
        <f t="shared" ref="U21:U25" si="29">T21/D21</f>
        <v>#DIV/0!</v>
      </c>
      <c r="V21" s="12">
        <v>0</v>
      </c>
      <c r="W21" s="4" t="s">
        <v>16</v>
      </c>
      <c r="X21" s="4" t="s">
        <v>16</v>
      </c>
      <c r="Y21" s="4" t="s">
        <v>16</v>
      </c>
      <c r="Z21" s="55" t="s">
        <v>16</v>
      </c>
      <c r="AA21" s="56">
        <f>P21-E21</f>
        <v>0</v>
      </c>
      <c r="AB21" s="22" t="s">
        <v>16</v>
      </c>
      <c r="AC21" s="29" t="s">
        <v>16</v>
      </c>
      <c r="AD21" s="4" t="s">
        <v>16</v>
      </c>
      <c r="AE21" s="36" t="s">
        <v>16</v>
      </c>
      <c r="AJ21" s="12" t="e">
        <f t="shared" si="26"/>
        <v>#DIV/0!</v>
      </c>
      <c r="AK21" s="9" t="e">
        <f t="shared" si="27"/>
        <v>#DIV/0!</v>
      </c>
    </row>
    <row r="22" spans="2:42" s="1" customFormat="1" x14ac:dyDescent="0.3">
      <c r="C22" s="1">
        <v>3337</v>
      </c>
      <c r="D22" s="1">
        <v>20</v>
      </c>
      <c r="E22" s="8">
        <v>1000</v>
      </c>
      <c r="F22" s="9">
        <v>77.912000000000006</v>
      </c>
      <c r="G22" s="9">
        <v>0.15160224021840499</v>
      </c>
      <c r="H22" s="9">
        <v>21.378</v>
      </c>
      <c r="I22" s="12">
        <f t="shared" si="24"/>
        <v>21.378</v>
      </c>
      <c r="J22" s="9">
        <f t="shared" si="28"/>
        <v>1.0689</v>
      </c>
      <c r="K22" s="9">
        <v>5.5643617892910301E-2</v>
      </c>
      <c r="L22" s="3" t="s">
        <v>16</v>
      </c>
      <c r="M22" s="3" t="s">
        <v>16</v>
      </c>
      <c r="N22" s="3" t="s">
        <v>16</v>
      </c>
      <c r="O22" s="57" t="s">
        <v>16</v>
      </c>
      <c r="P22" s="8">
        <v>977</v>
      </c>
      <c r="Q22" s="9">
        <v>68.790000000000006</v>
      </c>
      <c r="R22" s="9">
        <v>1.46820554675683</v>
      </c>
      <c r="S22" s="9">
        <v>27.457000000000001</v>
      </c>
      <c r="T22" s="12">
        <f t="shared" si="25"/>
        <v>23.395087001023541</v>
      </c>
      <c r="U22" s="9">
        <f t="shared" si="29"/>
        <v>1.1697543500511771</v>
      </c>
      <c r="V22" s="9">
        <v>0.84784727162148399</v>
      </c>
      <c r="W22" s="3" t="s">
        <v>16</v>
      </c>
      <c r="X22" s="3" t="s">
        <v>16</v>
      </c>
      <c r="Y22" s="3" t="s">
        <v>16</v>
      </c>
      <c r="Z22" s="57" t="s">
        <v>16</v>
      </c>
      <c r="AA22" s="58">
        <f>P22-E22</f>
        <v>-23</v>
      </c>
      <c r="AB22" s="21" t="s">
        <v>16</v>
      </c>
      <c r="AC22" s="28" t="s">
        <v>16</v>
      </c>
      <c r="AD22" s="3" t="s">
        <v>16</v>
      </c>
      <c r="AE22" s="35" t="s">
        <v>16</v>
      </c>
      <c r="AJ22" s="12" t="e">
        <f t="shared" si="26"/>
        <v>#DIV/0!</v>
      </c>
      <c r="AK22" s="9" t="e">
        <f t="shared" si="27"/>
        <v>#DIV/0!</v>
      </c>
    </row>
    <row r="23" spans="2:42" s="1" customFormat="1" x14ac:dyDescent="0.3">
      <c r="C23" s="1">
        <v>4337</v>
      </c>
      <c r="D23" s="1">
        <v>22</v>
      </c>
      <c r="E23" s="8">
        <v>1000</v>
      </c>
      <c r="F23" s="9">
        <v>77.152000000000001</v>
      </c>
      <c r="G23" s="9">
        <v>9.5425373994561802E-2</v>
      </c>
      <c r="H23" s="9">
        <v>23.271999999999998</v>
      </c>
      <c r="I23" s="9">
        <f t="shared" si="24"/>
        <v>23.271999999999998</v>
      </c>
      <c r="J23" s="9">
        <f t="shared" si="28"/>
        <v>1.0578181818181818</v>
      </c>
      <c r="K23" s="9">
        <v>5.2714275057092398E-2</v>
      </c>
      <c r="L23" s="3" t="s">
        <v>16</v>
      </c>
      <c r="M23" s="3" t="s">
        <v>16</v>
      </c>
      <c r="N23" s="3" t="s">
        <v>16</v>
      </c>
      <c r="O23" s="57" t="s">
        <v>16</v>
      </c>
      <c r="P23" s="8">
        <v>1000</v>
      </c>
      <c r="Q23" s="9">
        <v>76.778000000000006</v>
      </c>
      <c r="R23" s="9">
        <v>0.114925732209648</v>
      </c>
      <c r="S23" s="9">
        <v>23.268000000000001</v>
      </c>
      <c r="T23" s="9">
        <f t="shared" si="25"/>
        <v>23.268000000000001</v>
      </c>
      <c r="U23" s="9">
        <f t="shared" si="29"/>
        <v>1.0576363636363637</v>
      </c>
      <c r="V23" s="9">
        <v>5.1115445696861397E-2</v>
      </c>
      <c r="W23" s="3" t="s">
        <v>16</v>
      </c>
      <c r="X23" s="3" t="s">
        <v>16</v>
      </c>
      <c r="Y23" s="3" t="s">
        <v>16</v>
      </c>
      <c r="Z23" s="57" t="s">
        <v>16</v>
      </c>
      <c r="AA23" s="58">
        <f>P23-E23</f>
        <v>0</v>
      </c>
      <c r="AB23" s="21" t="s">
        <v>16</v>
      </c>
      <c r="AC23" s="28" t="s">
        <v>16</v>
      </c>
      <c r="AD23" s="3" t="s">
        <v>16</v>
      </c>
      <c r="AE23" s="35" t="s">
        <v>16</v>
      </c>
      <c r="AJ23" s="9" t="e">
        <f t="shared" si="26"/>
        <v>#DIV/0!</v>
      </c>
      <c r="AK23" s="9" t="e">
        <f t="shared" si="27"/>
        <v>#DIV/0!</v>
      </c>
    </row>
    <row r="24" spans="2:42" s="2" customFormat="1" x14ac:dyDescent="0.3">
      <c r="C24" s="2">
        <v>5337</v>
      </c>
      <c r="D24" s="2">
        <v>31</v>
      </c>
      <c r="E24" s="11">
        <v>0</v>
      </c>
      <c r="F24" s="12">
        <v>-227.43199999999999</v>
      </c>
      <c r="G24" s="12">
        <v>0.50839142187672404</v>
      </c>
      <c r="H24" s="12">
        <v>200</v>
      </c>
      <c r="I24" s="9" t="e">
        <f t="shared" si="24"/>
        <v>#DIV/0!</v>
      </c>
      <c r="J24" s="9" t="e">
        <f t="shared" si="28"/>
        <v>#DIV/0!</v>
      </c>
      <c r="K24" s="12">
        <v>0</v>
      </c>
      <c r="L24" s="4" t="s">
        <v>16</v>
      </c>
      <c r="M24" s="4" t="s">
        <v>16</v>
      </c>
      <c r="N24" s="4" t="s">
        <v>16</v>
      </c>
      <c r="O24" s="55" t="s">
        <v>16</v>
      </c>
      <c r="P24" s="11">
        <v>0</v>
      </c>
      <c r="Q24" s="12">
        <v>-219.404</v>
      </c>
      <c r="R24" s="12">
        <v>0.44748522548462599</v>
      </c>
      <c r="S24" s="12">
        <v>200</v>
      </c>
      <c r="T24" s="9" t="e">
        <f t="shared" si="25"/>
        <v>#DIV/0!</v>
      </c>
      <c r="U24" s="9" t="e">
        <f t="shared" si="29"/>
        <v>#DIV/0!</v>
      </c>
      <c r="V24" s="12">
        <v>0</v>
      </c>
      <c r="W24" s="4" t="s">
        <v>16</v>
      </c>
      <c r="X24" s="4" t="s">
        <v>16</v>
      </c>
      <c r="Y24" s="4" t="s">
        <v>16</v>
      </c>
      <c r="Z24" s="55" t="s">
        <v>16</v>
      </c>
      <c r="AA24" s="56">
        <f>P24-E24</f>
        <v>0</v>
      </c>
      <c r="AB24" s="22" t="s">
        <v>16</v>
      </c>
      <c r="AC24" s="29" t="s">
        <v>16</v>
      </c>
      <c r="AD24" s="4" t="s">
        <v>16</v>
      </c>
      <c r="AE24" s="36" t="s">
        <v>16</v>
      </c>
      <c r="AJ24" s="9" t="e">
        <f t="shared" si="26"/>
        <v>#DIV/0!</v>
      </c>
      <c r="AK24" s="9" t="e">
        <f t="shared" si="27"/>
        <v>#DIV/0!</v>
      </c>
    </row>
    <row r="25" spans="2:42" s="1" customFormat="1" x14ac:dyDescent="0.3">
      <c r="C25" s="1">
        <v>6337</v>
      </c>
      <c r="D25" s="1">
        <v>16</v>
      </c>
      <c r="E25" s="8">
        <v>1000</v>
      </c>
      <c r="F25" s="9">
        <v>82.596000000000004</v>
      </c>
      <c r="G25" s="9">
        <v>0.13135462701419401</v>
      </c>
      <c r="H25" s="9">
        <v>16.963999999999999</v>
      </c>
      <c r="I25" s="9">
        <f t="shared" si="24"/>
        <v>16.963999999999999</v>
      </c>
      <c r="J25" s="9">
        <f t="shared" si="28"/>
        <v>1.0602499999999999</v>
      </c>
      <c r="K25" s="9">
        <v>4.37105778343711E-2</v>
      </c>
      <c r="L25" s="3" t="s">
        <v>16</v>
      </c>
      <c r="M25" s="3" t="s">
        <v>16</v>
      </c>
      <c r="N25" s="3" t="s">
        <v>16</v>
      </c>
      <c r="O25" s="57" t="s">
        <v>16</v>
      </c>
      <c r="P25" s="8">
        <v>1000</v>
      </c>
      <c r="Q25" s="9">
        <v>81.956000000000003</v>
      </c>
      <c r="R25" s="9">
        <v>0.15942233055466001</v>
      </c>
      <c r="S25" s="9">
        <v>17.010000000000002</v>
      </c>
      <c r="T25" s="9">
        <f t="shared" si="25"/>
        <v>17.010000000000002</v>
      </c>
      <c r="U25" s="9">
        <f t="shared" si="29"/>
        <v>1.0631250000000001</v>
      </c>
      <c r="V25" s="9">
        <v>4.5650673423115899E-2</v>
      </c>
      <c r="W25" s="3" t="s">
        <v>16</v>
      </c>
      <c r="X25" s="3" t="s">
        <v>16</v>
      </c>
      <c r="Y25" s="3" t="s">
        <v>16</v>
      </c>
      <c r="Z25" s="57" t="s">
        <v>16</v>
      </c>
      <c r="AA25" s="58">
        <f>P25-E25</f>
        <v>0</v>
      </c>
      <c r="AB25" s="21" t="s">
        <v>16</v>
      </c>
      <c r="AC25" s="28" t="s">
        <v>16</v>
      </c>
      <c r="AD25" s="3" t="s">
        <v>16</v>
      </c>
      <c r="AE25" s="35" t="s">
        <v>16</v>
      </c>
      <c r="AJ25" s="9" t="e">
        <f t="shared" si="26"/>
        <v>#DIV/0!</v>
      </c>
      <c r="AK25" s="9" t="e">
        <f t="shared" si="27"/>
        <v>#DIV/0!</v>
      </c>
    </row>
    <row r="26" spans="2:42" x14ac:dyDescent="0.3">
      <c r="C26" t="s">
        <v>11</v>
      </c>
      <c r="E26" s="6">
        <f t="shared" ref="E26:S26" si="30">AVERAGE(E20:E25)</f>
        <v>666.66666666666663</v>
      </c>
      <c r="F26" s="14">
        <f t="shared" si="30"/>
        <v>-22.482333333333333</v>
      </c>
      <c r="G26" s="14">
        <f t="shared" si="30"/>
        <v>0.25206923052650165</v>
      </c>
      <c r="H26" s="14">
        <f t="shared" si="30"/>
        <v>80.10199999999999</v>
      </c>
      <c r="I26" s="14"/>
      <c r="J26" s="14" t="e">
        <f t="shared" si="30"/>
        <v>#DIV/0!</v>
      </c>
      <c r="K26" s="14">
        <f t="shared" si="30"/>
        <v>3.2493629728723231E-2</v>
      </c>
      <c r="L26" s="14" t="e">
        <f t="shared" si="30"/>
        <v>#DIV/0!</v>
      </c>
      <c r="M26" s="14" t="e">
        <f t="shared" si="30"/>
        <v>#DIV/0!</v>
      </c>
      <c r="N26" s="14" t="e">
        <f t="shared" si="30"/>
        <v>#DIV/0!</v>
      </c>
      <c r="O26" s="15" t="e">
        <f t="shared" si="30"/>
        <v>#DIV/0!</v>
      </c>
      <c r="P26" s="6">
        <f t="shared" si="30"/>
        <v>662.83333333333337</v>
      </c>
      <c r="Q26" s="14">
        <f t="shared" si="30"/>
        <v>-22.468499999999995</v>
      </c>
      <c r="R26" s="14">
        <f t="shared" si="30"/>
        <v>0.46761378050020014</v>
      </c>
      <c r="S26" s="14">
        <f t="shared" si="30"/>
        <v>81.10766666666666</v>
      </c>
      <c r="T26" s="14"/>
      <c r="U26" s="14" t="e">
        <f>S26/D26</f>
        <v>#DIV/0!</v>
      </c>
      <c r="V26" s="14">
        <f t="shared" ref="V26:Z26" si="31">AVERAGE(V20:V25)</f>
        <v>0.1644491429271619</v>
      </c>
      <c r="W26" s="14" t="e">
        <f t="shared" si="31"/>
        <v>#DIV/0!</v>
      </c>
      <c r="X26" s="14" t="e">
        <f t="shared" si="31"/>
        <v>#DIV/0!</v>
      </c>
      <c r="Y26" s="14" t="e">
        <f t="shared" si="31"/>
        <v>#DIV/0!</v>
      </c>
      <c r="Z26" s="15" t="e">
        <f t="shared" si="31"/>
        <v>#DIV/0!</v>
      </c>
      <c r="AA26" s="53">
        <f>P26-E26</f>
        <v>-3.8333333333332575</v>
      </c>
      <c r="AB26" s="20" t="e">
        <f>L26-W26</f>
        <v>#DIV/0!</v>
      </c>
      <c r="AC26" s="27" t="e">
        <f>AB26/L26</f>
        <v>#DIV/0!</v>
      </c>
      <c r="AD26" s="14" t="e">
        <f>N26-Y26</f>
        <v>#DIV/0!</v>
      </c>
      <c r="AE26" s="34" t="e">
        <f>AD26/N26</f>
        <v>#DIV/0!</v>
      </c>
      <c r="AJ26" s="14"/>
      <c r="AK26" s="14" t="e">
        <f t="shared" ref="AK26" si="32">AVERAGE(AK20:AK25)</f>
        <v>#DIV/0!</v>
      </c>
    </row>
    <row r="27" spans="2:42" x14ac:dyDescent="0.3">
      <c r="E27" s="14">
        <f t="shared" ref="E27" si="33">AVERAGE(E25,E23,E22,E20)</f>
        <v>1000</v>
      </c>
      <c r="F27" s="14">
        <f t="shared" ref="F27:Z27" si="34">AVERAGE(F25,F23,F22,F20)</f>
        <v>79.537499999999994</v>
      </c>
      <c r="G27" s="14">
        <f t="shared" si="34"/>
        <v>0.12809355824496343</v>
      </c>
      <c r="H27" s="14">
        <f t="shared" si="34"/>
        <v>20.152999999999999</v>
      </c>
      <c r="I27" s="14"/>
      <c r="J27" s="14">
        <f t="shared" si="34"/>
        <v>1.0606031565656566</v>
      </c>
      <c r="K27" s="14">
        <f t="shared" si="34"/>
        <v>4.8740444593084853E-2</v>
      </c>
      <c r="L27" s="14" t="e">
        <f t="shared" si="34"/>
        <v>#DIV/0!</v>
      </c>
      <c r="M27" s="14" t="e">
        <f t="shared" si="34"/>
        <v>#DIV/0!</v>
      </c>
      <c r="N27" s="14" t="e">
        <f t="shared" si="34"/>
        <v>#DIV/0!</v>
      </c>
      <c r="O27" s="15" t="e">
        <f t="shared" si="34"/>
        <v>#DIV/0!</v>
      </c>
      <c r="P27" s="20">
        <f t="shared" si="34"/>
        <v>994.25</v>
      </c>
      <c r="Q27" s="14">
        <f t="shared" si="34"/>
        <v>76.982500000000002</v>
      </c>
      <c r="R27" s="14">
        <f t="shared" si="34"/>
        <v>0.47367976007023677</v>
      </c>
      <c r="S27" s="14">
        <f t="shared" si="34"/>
        <v>21.661500000000004</v>
      </c>
      <c r="T27" s="14"/>
      <c r="U27" s="14">
        <f t="shared" si="34"/>
        <v>1.0852817061996629</v>
      </c>
      <c r="V27" s="14">
        <f t="shared" si="34"/>
        <v>0.24667371439074284</v>
      </c>
      <c r="W27" s="14" t="e">
        <f t="shared" si="34"/>
        <v>#DIV/0!</v>
      </c>
      <c r="X27" s="14" t="e">
        <f t="shared" si="34"/>
        <v>#DIV/0!</v>
      </c>
      <c r="Y27" s="14" t="e">
        <f t="shared" si="34"/>
        <v>#DIV/0!</v>
      </c>
      <c r="Z27" s="15" t="e">
        <f t="shared" si="34"/>
        <v>#DIV/0!</v>
      </c>
      <c r="AA27" s="53"/>
      <c r="AB27" s="20"/>
      <c r="AC27" s="27"/>
      <c r="AD27" s="14"/>
      <c r="AE27" s="34"/>
      <c r="AJ27" s="14"/>
      <c r="AK27" s="14" t="e">
        <f t="shared" ref="AK27" si="35">AVERAGE(AK25,AK23,AK22,AK20)</f>
        <v>#DIV/0!</v>
      </c>
    </row>
    <row r="28" spans="2:42" s="1" customFormat="1" x14ac:dyDescent="0.3">
      <c r="B28" s="1" t="s">
        <v>82</v>
      </c>
      <c r="C28" s="1">
        <v>1337</v>
      </c>
      <c r="D28" s="1">
        <v>18</v>
      </c>
      <c r="E28" s="8">
        <v>1000</v>
      </c>
      <c r="F28" s="9">
        <v>92.864000000000004</v>
      </c>
      <c r="G28" s="9">
        <v>0.24645129791145801</v>
      </c>
      <c r="H28" s="9">
        <v>19.074000000000002</v>
      </c>
      <c r="I28" s="9">
        <f t="shared" ref="I28:I33" si="36">(H28*1000-200*(1000-E28))/E28</f>
        <v>19.074000000000002</v>
      </c>
      <c r="J28" s="9">
        <f>I28/D28</f>
        <v>1.0596666666666668</v>
      </c>
      <c r="K28" s="9">
        <v>4.7904267229744897E-2</v>
      </c>
      <c r="L28" s="9">
        <v>2.1779999999999999</v>
      </c>
      <c r="M28" s="9">
        <v>3.1101178165517801E-2</v>
      </c>
      <c r="N28" s="3" t="s">
        <v>16</v>
      </c>
      <c r="O28" s="57" t="s">
        <v>16</v>
      </c>
      <c r="P28" s="8">
        <v>1000</v>
      </c>
      <c r="Q28" s="9">
        <v>85.518000000000001</v>
      </c>
      <c r="R28" s="9">
        <v>0.23739847100188699</v>
      </c>
      <c r="S28" s="9">
        <v>20.927</v>
      </c>
      <c r="T28" s="9">
        <f t="shared" ref="T28:T33" si="37">(S28*1000-200*(1000-P28))/P28</f>
        <v>20.927</v>
      </c>
      <c r="U28" s="9">
        <f>T28/D28</f>
        <v>1.162611111111111</v>
      </c>
      <c r="V28" s="9">
        <v>8.0685693782610396E-2</v>
      </c>
      <c r="W28" s="9">
        <v>1.3420000000000001</v>
      </c>
      <c r="X28" s="9">
        <v>2.9255630088786101E-2</v>
      </c>
      <c r="Y28" s="3" t="s">
        <v>16</v>
      </c>
      <c r="Z28" s="57" t="s">
        <v>16</v>
      </c>
      <c r="AA28" s="58">
        <f>P28-E28</f>
        <v>0</v>
      </c>
      <c r="AB28" s="21">
        <f>L28-W28</f>
        <v>0.83599999999999985</v>
      </c>
      <c r="AC28" s="28">
        <f>AB28/L28</f>
        <v>0.38383838383838376</v>
      </c>
      <c r="AD28" s="3" t="s">
        <v>16</v>
      </c>
      <c r="AE28" s="57" t="s">
        <v>16</v>
      </c>
      <c r="AF28" s="1" t="s">
        <v>83</v>
      </c>
      <c r="AJ28" s="9" t="e">
        <f t="shared" ref="AJ28:AJ33" si="38">(AI28*1000-200*(1000-AF28))/AF28</f>
        <v>#VALUE!</v>
      </c>
      <c r="AK28" s="9" t="e">
        <f t="shared" ref="AK28:AK33" si="39">AJ28/D28</f>
        <v>#VALUE!</v>
      </c>
    </row>
    <row r="29" spans="2:42" s="1" customFormat="1" x14ac:dyDescent="0.3">
      <c r="B29" s="1" t="s">
        <v>20</v>
      </c>
      <c r="C29" s="1">
        <v>2337</v>
      </c>
      <c r="D29" s="1">
        <v>25</v>
      </c>
      <c r="E29" s="8">
        <v>999</v>
      </c>
      <c r="F29" s="9">
        <v>82.084000000000003</v>
      </c>
      <c r="G29" s="9">
        <v>0.50222821224735703</v>
      </c>
      <c r="H29" s="9">
        <v>31.169</v>
      </c>
      <c r="I29" s="12">
        <f t="shared" si="36"/>
        <v>31</v>
      </c>
      <c r="J29" s="9">
        <f t="shared" ref="J29:J33" si="40">I29/D29</f>
        <v>1.24</v>
      </c>
      <c r="K29" s="9">
        <v>0.37300344578913802</v>
      </c>
      <c r="L29" s="9">
        <v>2.6779999999999999</v>
      </c>
      <c r="M29" s="9">
        <v>5.08025284498409E-2</v>
      </c>
      <c r="N29" s="3" t="s">
        <v>16</v>
      </c>
      <c r="O29" s="57" t="s">
        <v>16</v>
      </c>
      <c r="P29" s="8">
        <v>1000</v>
      </c>
      <c r="Q29" s="9">
        <v>78.171999999999997</v>
      </c>
      <c r="R29" s="9">
        <v>0.30686247828722901</v>
      </c>
      <c r="S29" s="9">
        <v>29.698</v>
      </c>
      <c r="T29" s="12">
        <f t="shared" si="37"/>
        <v>29.698</v>
      </c>
      <c r="U29" s="9">
        <f t="shared" ref="U29:U33" si="41">T29/D29</f>
        <v>1.1879200000000001</v>
      </c>
      <c r="V29" s="9">
        <v>0.139672131451855</v>
      </c>
      <c r="W29" s="9">
        <v>1.6619999999999999</v>
      </c>
      <c r="X29" s="9">
        <v>3.56514659870674E-2</v>
      </c>
      <c r="Y29" s="3" t="s">
        <v>16</v>
      </c>
      <c r="Z29" s="57" t="s">
        <v>16</v>
      </c>
      <c r="AA29" s="58">
        <f>P29-E29</f>
        <v>1</v>
      </c>
      <c r="AB29" s="21">
        <f>L29-W29</f>
        <v>1.016</v>
      </c>
      <c r="AC29" s="28">
        <f>AB29/L29</f>
        <v>0.37938760268857358</v>
      </c>
      <c r="AD29" s="3" t="s">
        <v>16</v>
      </c>
      <c r="AE29" s="57" t="s">
        <v>16</v>
      </c>
      <c r="AF29" s="1">
        <v>0</v>
      </c>
      <c r="AG29" s="1">
        <v>-1741.6010000000001</v>
      </c>
      <c r="AH29" s="1">
        <v>1.4073849976220101</v>
      </c>
      <c r="AI29" s="1">
        <v>200</v>
      </c>
      <c r="AJ29" s="12" t="e">
        <f t="shared" si="38"/>
        <v>#DIV/0!</v>
      </c>
      <c r="AK29" s="9" t="e">
        <f t="shared" si="39"/>
        <v>#DIV/0!</v>
      </c>
      <c r="AL29" s="1">
        <v>0</v>
      </c>
      <c r="AM29" s="1">
        <v>2.6219999999999999</v>
      </c>
      <c r="AN29" s="1">
        <v>4.31622401988008E-2</v>
      </c>
    </row>
    <row r="30" spans="2:42" s="1" customFormat="1" x14ac:dyDescent="0.3">
      <c r="C30" s="1">
        <v>3337</v>
      </c>
      <c r="D30" s="1">
        <v>20</v>
      </c>
      <c r="E30" s="8">
        <v>1000</v>
      </c>
      <c r="F30" s="9">
        <v>79.040999999999997</v>
      </c>
      <c r="G30" s="9">
        <v>0.13875363624630299</v>
      </c>
      <c r="H30" s="59">
        <v>21.175999999999998</v>
      </c>
      <c r="I30" s="12">
        <f t="shared" si="36"/>
        <v>21.175999999999998</v>
      </c>
      <c r="J30" s="9">
        <f t="shared" si="40"/>
        <v>1.0588</v>
      </c>
      <c r="K30" s="9">
        <v>4.6767629950759802E-2</v>
      </c>
      <c r="L30" s="9">
        <v>0.185</v>
      </c>
      <c r="M30" s="9">
        <v>1.51988817353779E-2</v>
      </c>
      <c r="N30" s="3" t="s">
        <v>16</v>
      </c>
      <c r="O30" s="57" t="s">
        <v>16</v>
      </c>
      <c r="P30" s="1">
        <v>1000</v>
      </c>
      <c r="Q30" s="9">
        <v>78.774000000000001</v>
      </c>
      <c r="R30" s="9">
        <v>0.14815151998164799</v>
      </c>
      <c r="S30" s="9">
        <v>21.077000000000002</v>
      </c>
      <c r="T30" s="12">
        <f t="shared" si="37"/>
        <v>21.077000000000002</v>
      </c>
      <c r="U30" s="9">
        <f t="shared" si="41"/>
        <v>1.0538500000000002</v>
      </c>
      <c r="V30" s="9">
        <v>4.5947602572736897E-2</v>
      </c>
      <c r="W30" s="9">
        <v>0.158</v>
      </c>
      <c r="X30" s="9">
        <v>1.3972516996992E-2</v>
      </c>
      <c r="Y30" s="3" t="s">
        <v>16</v>
      </c>
      <c r="Z30" s="57" t="s">
        <v>16</v>
      </c>
      <c r="AA30" s="58">
        <f>P30-E30</f>
        <v>0</v>
      </c>
      <c r="AB30" s="21">
        <f>L30-W30</f>
        <v>2.6999999999999996E-2</v>
      </c>
      <c r="AC30" s="28">
        <f>AB30/L30</f>
        <v>0.14594594594594593</v>
      </c>
      <c r="AD30" s="3" t="s">
        <v>16</v>
      </c>
      <c r="AE30" s="57" t="s">
        <v>16</v>
      </c>
      <c r="AF30" s="1">
        <v>803</v>
      </c>
      <c r="AG30" s="1">
        <v>-208.03899999999999</v>
      </c>
      <c r="AH30" s="1">
        <v>17.541706614521502</v>
      </c>
      <c r="AI30" s="1">
        <v>75.040999999999997</v>
      </c>
      <c r="AJ30" s="12">
        <f t="shared" si="38"/>
        <v>44.384806973848072</v>
      </c>
      <c r="AK30" s="9">
        <f t="shared" si="39"/>
        <v>2.2192403486924035</v>
      </c>
      <c r="AL30" s="1">
        <v>2.0555175677846802</v>
      </c>
      <c r="AM30" s="1">
        <v>0.749</v>
      </c>
      <c r="AN30" s="1">
        <v>4.2963296484846702E-2</v>
      </c>
    </row>
    <row r="31" spans="2:42" s="1" customFormat="1" x14ac:dyDescent="0.3">
      <c r="C31" s="1">
        <v>4337</v>
      </c>
      <c r="D31" s="1">
        <v>22</v>
      </c>
      <c r="E31" s="8">
        <v>1000</v>
      </c>
      <c r="F31" s="9">
        <v>81.751999999999995</v>
      </c>
      <c r="G31" s="9">
        <v>0.184218436733222</v>
      </c>
      <c r="H31" s="9">
        <v>23.925000000000001</v>
      </c>
      <c r="I31" s="9">
        <f t="shared" si="36"/>
        <v>23.925000000000001</v>
      </c>
      <c r="J31" s="9">
        <f t="shared" si="40"/>
        <v>1.0875000000000001</v>
      </c>
      <c r="K31" s="9">
        <v>6.0902250238263601E-2</v>
      </c>
      <c r="L31" s="9">
        <v>0.96</v>
      </c>
      <c r="M31" s="9">
        <v>2.5318788301201101E-2</v>
      </c>
      <c r="N31" s="3" t="s">
        <v>16</v>
      </c>
      <c r="O31" s="57" t="s">
        <v>16</v>
      </c>
      <c r="P31" s="8">
        <v>1000</v>
      </c>
      <c r="Q31" s="9">
        <v>79.427999999999997</v>
      </c>
      <c r="R31" s="9">
        <v>0.15818925323750599</v>
      </c>
      <c r="S31" s="9">
        <v>24.134</v>
      </c>
      <c r="T31" s="9">
        <f t="shared" si="37"/>
        <v>24.134</v>
      </c>
      <c r="U31" s="9">
        <f t="shared" si="41"/>
        <v>1.097</v>
      </c>
      <c r="V31" s="9">
        <v>6.3055689830657E-2</v>
      </c>
      <c r="W31" s="9">
        <v>0.56799999999999995</v>
      </c>
      <c r="X31" s="9">
        <v>2.1209097713618699E-2</v>
      </c>
      <c r="Y31" s="3" t="s">
        <v>16</v>
      </c>
      <c r="Z31" s="57" t="s">
        <v>16</v>
      </c>
      <c r="AA31" s="58">
        <f>P31-E31</f>
        <v>0</v>
      </c>
      <c r="AB31" s="21">
        <f>L31-W31</f>
        <v>0.39200000000000002</v>
      </c>
      <c r="AC31" s="28">
        <f>AB31/L31</f>
        <v>0.40833333333333338</v>
      </c>
      <c r="AD31" s="3" t="s">
        <v>16</v>
      </c>
      <c r="AE31" s="57" t="s">
        <v>16</v>
      </c>
      <c r="AF31" s="1" t="s">
        <v>83</v>
      </c>
      <c r="AJ31" s="9" t="e">
        <f t="shared" si="38"/>
        <v>#VALUE!</v>
      </c>
      <c r="AK31" s="9" t="e">
        <f t="shared" si="39"/>
        <v>#VALUE!</v>
      </c>
    </row>
    <row r="32" spans="2:42" s="2" customFormat="1" x14ac:dyDescent="0.3">
      <c r="C32" s="2">
        <v>5337</v>
      </c>
      <c r="D32" s="2">
        <v>31</v>
      </c>
      <c r="E32" s="11">
        <v>457</v>
      </c>
      <c r="F32" s="12">
        <v>-76.728999999999999</v>
      </c>
      <c r="G32" s="12">
        <v>3.0551362353283702</v>
      </c>
      <c r="H32" s="12">
        <v>165.429</v>
      </c>
      <c r="I32" s="9">
        <f t="shared" si="36"/>
        <v>124.35229759299781</v>
      </c>
      <c r="J32" s="9">
        <f t="shared" si="40"/>
        <v>4.0113644384838008</v>
      </c>
      <c r="K32" s="12">
        <v>1.4167406654406101</v>
      </c>
      <c r="L32" s="12">
        <v>9.8550000000000004</v>
      </c>
      <c r="M32" s="12">
        <v>9.6245718025469704E-2</v>
      </c>
      <c r="N32" s="4" t="s">
        <v>16</v>
      </c>
      <c r="O32" s="55" t="s">
        <v>16</v>
      </c>
      <c r="P32" s="11">
        <v>25</v>
      </c>
      <c r="Q32" s="12">
        <v>-211.52600000000001</v>
      </c>
      <c r="R32" s="12">
        <v>1.0594204527455999</v>
      </c>
      <c r="S32" s="12">
        <v>198.45099999999999</v>
      </c>
      <c r="T32" s="9">
        <f t="shared" si="37"/>
        <v>138.04</v>
      </c>
      <c r="U32" s="9">
        <f t="shared" si="41"/>
        <v>4.4529032258064509</v>
      </c>
      <c r="V32" s="12">
        <v>0.330724927965791</v>
      </c>
      <c r="W32" s="12">
        <v>1.867</v>
      </c>
      <c r="X32" s="12">
        <v>4.2439511214340198E-2</v>
      </c>
      <c r="Y32" s="4" t="s">
        <v>16</v>
      </c>
      <c r="Z32" s="55" t="s">
        <v>16</v>
      </c>
      <c r="AA32" s="56">
        <f>P32-E32</f>
        <v>-432</v>
      </c>
      <c r="AB32" s="22">
        <f>L32-W32</f>
        <v>7.9880000000000004</v>
      </c>
      <c r="AC32" s="29">
        <f>AB32/L32</f>
        <v>0.81055301877219688</v>
      </c>
      <c r="AD32" s="4" t="s">
        <v>16</v>
      </c>
      <c r="AE32" s="55" t="s">
        <v>16</v>
      </c>
      <c r="AJ32" s="9" t="e">
        <f t="shared" si="38"/>
        <v>#DIV/0!</v>
      </c>
      <c r="AK32" s="9" t="e">
        <f t="shared" si="39"/>
        <v>#DIV/0!</v>
      </c>
    </row>
    <row r="33" spans="1:42" s="1" customFormat="1" x14ac:dyDescent="0.3">
      <c r="C33" s="1">
        <v>6337</v>
      </c>
      <c r="D33" s="1">
        <v>16</v>
      </c>
      <c r="E33" s="8">
        <v>1000</v>
      </c>
      <c r="F33" s="9">
        <v>84.376000000000005</v>
      </c>
      <c r="G33" s="9">
        <v>0.14145187390993599</v>
      </c>
      <c r="H33" s="9">
        <v>16.911999999999999</v>
      </c>
      <c r="I33" s="9">
        <f t="shared" si="36"/>
        <v>16.911999999999999</v>
      </c>
      <c r="J33" s="9">
        <f t="shared" si="40"/>
        <v>1.0569999999999999</v>
      </c>
      <c r="K33" s="9">
        <v>4.0692897561022998E-2</v>
      </c>
      <c r="L33" s="9">
        <v>0.31900000000000001</v>
      </c>
      <c r="M33" s="9">
        <v>1.96373273289575E-2</v>
      </c>
      <c r="N33" s="3" t="s">
        <v>16</v>
      </c>
      <c r="O33" s="57" t="s">
        <v>16</v>
      </c>
      <c r="P33" s="8">
        <v>1000</v>
      </c>
      <c r="Q33" s="9">
        <v>84.153999999999996</v>
      </c>
      <c r="R33" s="9">
        <v>0.11535853497505701</v>
      </c>
      <c r="S33" s="9">
        <v>16.96</v>
      </c>
      <c r="T33" s="9">
        <f t="shared" si="37"/>
        <v>16.96</v>
      </c>
      <c r="U33" s="9">
        <f t="shared" si="41"/>
        <v>1.06</v>
      </c>
      <c r="V33" s="9">
        <v>4.4140099097627103E-2</v>
      </c>
      <c r="W33" s="9">
        <v>0.23499999999999999</v>
      </c>
      <c r="X33" s="9">
        <v>1.5812179641814798E-2</v>
      </c>
      <c r="Y33" s="3" t="s">
        <v>16</v>
      </c>
      <c r="Z33" s="57" t="s">
        <v>16</v>
      </c>
      <c r="AA33" s="58">
        <f>P33-E33</f>
        <v>0</v>
      </c>
      <c r="AB33" s="21">
        <f>L33-W33</f>
        <v>8.4000000000000019E-2</v>
      </c>
      <c r="AC33" s="28">
        <f>AB33/L33</f>
        <v>0.26332288401253923</v>
      </c>
      <c r="AD33" s="3" t="s">
        <v>16</v>
      </c>
      <c r="AE33" s="57" t="s">
        <v>16</v>
      </c>
      <c r="AF33" s="1">
        <v>585</v>
      </c>
      <c r="AG33" s="1">
        <v>-468.07499999999999</v>
      </c>
      <c r="AH33" s="1">
        <v>19.783946672009598</v>
      </c>
      <c r="AI33" s="1">
        <v>108.59399999999999</v>
      </c>
      <c r="AJ33" s="9">
        <f t="shared" si="38"/>
        <v>43.750427350427351</v>
      </c>
      <c r="AK33" s="9">
        <f t="shared" si="39"/>
        <v>2.7344017094017095</v>
      </c>
      <c r="AL33" s="1">
        <v>2.49835765152929</v>
      </c>
      <c r="AM33" s="1">
        <v>0.81200000000000006</v>
      </c>
      <c r="AN33" s="1">
        <v>3.2491717586358999E-2</v>
      </c>
    </row>
    <row r="34" spans="1:42" x14ac:dyDescent="0.3">
      <c r="C34" t="s">
        <v>11</v>
      </c>
      <c r="E34" s="6">
        <f t="shared" ref="E34:H34" si="42">AVERAGE(E28:E33)</f>
        <v>909.33333333333337</v>
      </c>
      <c r="F34" s="14">
        <f t="shared" si="42"/>
        <v>57.231333333333339</v>
      </c>
      <c r="G34" s="14">
        <f t="shared" si="42"/>
        <v>0.71137328206277439</v>
      </c>
      <c r="H34" s="14">
        <f t="shared" si="42"/>
        <v>46.280833333333334</v>
      </c>
      <c r="I34" s="14"/>
      <c r="J34" s="9" t="e">
        <f t="shared" ref="J34:J52" si="43">H34/D34</f>
        <v>#DIV/0!</v>
      </c>
      <c r="K34" s="14">
        <f t="shared" ref="K34:M34" si="44">AVERAGE(K28:K33)</f>
        <v>0.33100185936825655</v>
      </c>
      <c r="L34" s="14">
        <f t="shared" si="44"/>
        <v>2.6958333333333333</v>
      </c>
      <c r="M34" s="14">
        <f t="shared" si="44"/>
        <v>3.971740366772749E-2</v>
      </c>
      <c r="N34" s="5" t="s">
        <v>16</v>
      </c>
      <c r="O34" s="46" t="s">
        <v>16</v>
      </c>
      <c r="P34" s="6"/>
      <c r="Q34" s="14"/>
      <c r="R34" s="14"/>
      <c r="S34" s="14"/>
      <c r="T34" s="14"/>
      <c r="U34" s="9" t="e">
        <f>S34/D34</f>
        <v>#DIV/0!</v>
      </c>
      <c r="V34" s="14"/>
      <c r="W34" s="14"/>
      <c r="X34" s="14"/>
      <c r="Y34" s="5" t="s">
        <v>16</v>
      </c>
      <c r="Z34" s="46" t="s">
        <v>16</v>
      </c>
      <c r="AA34" s="54">
        <f>P34-E34</f>
        <v>-909.33333333333337</v>
      </c>
      <c r="AB34" s="23">
        <f>L34-W34</f>
        <v>2.6958333333333333</v>
      </c>
      <c r="AC34" s="30">
        <f>AB34/L34</f>
        <v>1</v>
      </c>
      <c r="AD34" s="5" t="s">
        <v>16</v>
      </c>
      <c r="AE34" s="46" t="s">
        <v>16</v>
      </c>
      <c r="AJ34" s="14"/>
      <c r="AK34" s="9" t="e">
        <f t="shared" ref="AK34:AK59" si="45">AI34/AE34</f>
        <v>#VALUE!</v>
      </c>
    </row>
    <row r="35" spans="1:42" x14ac:dyDescent="0.3">
      <c r="E35" s="14">
        <f t="shared" ref="E35" si="46">AVERAGE(E33,E31,E30,E28)</f>
        <v>1000</v>
      </c>
      <c r="F35" s="14">
        <f t="shared" ref="F35:AD35" si="47">AVERAGE(F33,F31,F30,F29,F28)</f>
        <v>84.023399999999995</v>
      </c>
      <c r="G35" s="14">
        <f t="shared" si="47"/>
        <v>0.2426206914096552</v>
      </c>
      <c r="H35" s="14">
        <f t="shared" si="47"/>
        <v>22.4512</v>
      </c>
      <c r="I35" s="14"/>
      <c r="J35" s="9">
        <f t="shared" si="47"/>
        <v>1.1005933333333333</v>
      </c>
      <c r="K35" s="14">
        <f t="shared" si="47"/>
        <v>0.11385409815378589</v>
      </c>
      <c r="L35" s="14">
        <f t="shared" si="47"/>
        <v>1.2639999999999998</v>
      </c>
      <c r="M35" s="14">
        <f t="shared" si="47"/>
        <v>2.8411740796179041E-2</v>
      </c>
      <c r="N35" s="5" t="e">
        <f t="shared" si="47"/>
        <v>#DIV/0!</v>
      </c>
      <c r="O35" s="46" t="e">
        <f t="shared" si="47"/>
        <v>#DIV/0!</v>
      </c>
      <c r="P35" s="20">
        <f t="shared" si="47"/>
        <v>1000</v>
      </c>
      <c r="Q35" s="14">
        <f t="shared" si="47"/>
        <v>81.20920000000001</v>
      </c>
      <c r="R35" s="14">
        <f t="shared" si="47"/>
        <v>0.19319205149666541</v>
      </c>
      <c r="S35" s="14">
        <f t="shared" si="47"/>
        <v>22.559199999999997</v>
      </c>
      <c r="T35" s="14"/>
      <c r="U35" s="9">
        <f t="shared" si="47"/>
        <v>1.1122762222222224</v>
      </c>
      <c r="V35" s="14">
        <f t="shared" si="47"/>
        <v>7.4700243347097281E-2</v>
      </c>
      <c r="W35" s="14">
        <f t="shared" si="47"/>
        <v>0.79299999999999993</v>
      </c>
      <c r="X35" s="14">
        <f t="shared" si="47"/>
        <v>2.3180178085655801E-2</v>
      </c>
      <c r="Y35" s="5" t="e">
        <f t="shared" si="47"/>
        <v>#DIV/0!</v>
      </c>
      <c r="Z35" s="46" t="e">
        <f t="shared" si="47"/>
        <v>#DIV/0!</v>
      </c>
      <c r="AA35" s="54">
        <f t="shared" si="47"/>
        <v>0.2</v>
      </c>
      <c r="AB35" s="23">
        <f t="shared" si="47"/>
        <v>0.47099999999999997</v>
      </c>
      <c r="AC35" s="30">
        <f t="shared" si="47"/>
        <v>0.31616562996375519</v>
      </c>
      <c r="AD35" s="5" t="e">
        <f t="shared" si="47"/>
        <v>#DIV/0!</v>
      </c>
      <c r="AE35" s="46" t="e">
        <f t="shared" ref="AE35:AN35" si="48">AVERAGE(AE33,AE31,AE30,AE29,AE28)</f>
        <v>#DIV/0!</v>
      </c>
      <c r="AF35" s="14">
        <f t="shared" si="48"/>
        <v>462.66666666666669</v>
      </c>
      <c r="AG35" s="14">
        <f t="shared" si="48"/>
        <v>-805.90500000000009</v>
      </c>
      <c r="AH35" s="14">
        <f t="shared" si="48"/>
        <v>12.91101276138437</v>
      </c>
      <c r="AI35" s="14">
        <f t="shared" si="48"/>
        <v>127.87833333333333</v>
      </c>
      <c r="AJ35" s="14"/>
      <c r="AK35" s="9">
        <f>(AK30*AF30+AK33*AF33)/(AF30+AF33)</f>
        <v>2.4363652737752162</v>
      </c>
      <c r="AL35" s="14">
        <f t="shared" si="48"/>
        <v>1.5179584064379901</v>
      </c>
      <c r="AM35" s="14">
        <f t="shared" si="48"/>
        <v>1.3943333333333332</v>
      </c>
      <c r="AN35" s="14">
        <f t="shared" si="48"/>
        <v>3.9539084756668834E-2</v>
      </c>
    </row>
    <row r="36" spans="1:42" s="1" customFormat="1" x14ac:dyDescent="0.3">
      <c r="A36" s="1" t="s">
        <v>14</v>
      </c>
      <c r="B36" s="1" t="s">
        <v>2</v>
      </c>
      <c r="C36" s="1">
        <v>1337</v>
      </c>
      <c r="D36" s="1">
        <v>31</v>
      </c>
      <c r="E36" s="8">
        <v>999</v>
      </c>
      <c r="F36" s="9">
        <v>91.775999999999996</v>
      </c>
      <c r="G36" s="9">
        <v>3.4776748045275898</v>
      </c>
      <c r="H36" s="9">
        <v>38.313000000000002</v>
      </c>
      <c r="I36" s="9">
        <f t="shared" ref="I36:I42" si="49">(H36*1000-400*(1000-E36))/E36</f>
        <v>37.950950950950954</v>
      </c>
      <c r="J36" s="9">
        <f>I36/D36</f>
        <v>1.2242242242242243</v>
      </c>
      <c r="K36" s="9">
        <v>0.37137710208351798</v>
      </c>
      <c r="L36" s="9">
        <v>1.821</v>
      </c>
      <c r="M36" s="9">
        <v>3.4411381011856201E-2</v>
      </c>
      <c r="N36" s="9">
        <v>4.2670000000000003</v>
      </c>
      <c r="O36" s="10">
        <v>1.7320825933280701E-2</v>
      </c>
      <c r="P36" s="8">
        <v>1000</v>
      </c>
      <c r="Q36" s="9">
        <v>78.085999999999999</v>
      </c>
      <c r="R36" s="9">
        <v>0.27607756667795802</v>
      </c>
      <c r="S36" s="9">
        <v>34.238999999999997</v>
      </c>
      <c r="T36" s="9">
        <f t="shared" ref="T36:T42" si="50">(S36*1000-200*(1000-P36))/P36</f>
        <v>34.238999999999997</v>
      </c>
      <c r="U36" s="9">
        <f>T36/D36</f>
        <v>1.1044838709677418</v>
      </c>
      <c r="V36" s="9">
        <v>9.1521884023741798E-2</v>
      </c>
      <c r="W36" s="9">
        <v>1.476</v>
      </c>
      <c r="X36" s="9">
        <v>3.2472734385611497E-2</v>
      </c>
      <c r="Y36" s="9">
        <v>1.0549999999999999</v>
      </c>
      <c r="Z36" s="10">
        <v>7.2129762946391996E-3</v>
      </c>
      <c r="AA36" s="51">
        <f>P36-E36</f>
        <v>1</v>
      </c>
      <c r="AB36" s="18">
        <f>L36-W36</f>
        <v>0.34499999999999997</v>
      </c>
      <c r="AC36" s="25">
        <f>AB36/L36</f>
        <v>0.18945634266886324</v>
      </c>
      <c r="AD36" s="9">
        <f>N36-Y36</f>
        <v>3.2120000000000006</v>
      </c>
      <c r="AE36" s="32">
        <f>AD36/N36</f>
        <v>0.75275369111788148</v>
      </c>
      <c r="AF36" s="1">
        <v>9</v>
      </c>
      <c r="AG36" s="1">
        <v>-1925.336</v>
      </c>
      <c r="AH36" s="1">
        <v>38.866479602368898</v>
      </c>
      <c r="AI36" s="1">
        <v>397.7</v>
      </c>
      <c r="AJ36" s="9">
        <f>(AI36*500-400*(500-AF36))/AF36</f>
        <v>272.22222222222223</v>
      </c>
      <c r="AK36" s="9">
        <f t="shared" ref="AK36:AK42" si="51">AJ36/D36</f>
        <v>8.7813620071684593</v>
      </c>
      <c r="AL36" s="1">
        <v>0.87427038002827795</v>
      </c>
      <c r="AM36" s="1">
        <v>1.02</v>
      </c>
      <c r="AN36" s="1">
        <v>5.2274901536600901E-2</v>
      </c>
      <c r="AO36" s="1">
        <v>0.112</v>
      </c>
      <c r="AP36" s="1">
        <v>1.5472258450631099E-2</v>
      </c>
    </row>
    <row r="37" spans="1:42" s="1" customFormat="1" x14ac:dyDescent="0.3">
      <c r="B37" s="1" t="s">
        <v>23</v>
      </c>
      <c r="C37" s="1">
        <v>2337</v>
      </c>
      <c r="D37" s="1">
        <v>33</v>
      </c>
      <c r="E37" s="8">
        <v>997</v>
      </c>
      <c r="F37" s="9">
        <v>85.106999999999999</v>
      </c>
      <c r="G37" s="9">
        <v>0.78074522996564899</v>
      </c>
      <c r="H37" s="9">
        <v>46.780999999999999</v>
      </c>
      <c r="I37" s="12">
        <f t="shared" si="49"/>
        <v>45.718154463390171</v>
      </c>
      <c r="J37" s="9">
        <f t="shared" ref="J37:J41" si="52">I37/D37</f>
        <v>1.3853986201027324</v>
      </c>
      <c r="K37" s="9">
        <v>0.63768305503492695</v>
      </c>
      <c r="L37" s="9">
        <v>1.617</v>
      </c>
      <c r="M37" s="9">
        <v>3.5799337879248397E-2</v>
      </c>
      <c r="N37" s="9">
        <v>3.9969999999999999</v>
      </c>
      <c r="O37" s="10">
        <v>2.3270851564404098E-2</v>
      </c>
      <c r="P37" s="8">
        <v>1000</v>
      </c>
      <c r="Q37" s="9">
        <v>69.221000000000004</v>
      </c>
      <c r="R37" s="9">
        <v>0.25044536706012699</v>
      </c>
      <c r="S37" s="9">
        <v>42.267000000000003</v>
      </c>
      <c r="T37" s="12">
        <f t="shared" si="50"/>
        <v>42.267000000000003</v>
      </c>
      <c r="U37" s="9">
        <f t="shared" ref="U37:U42" si="53">T37/D37</f>
        <v>1.2808181818181819</v>
      </c>
      <c r="V37" s="9">
        <v>9.9275206202589006E-2</v>
      </c>
      <c r="W37" s="9">
        <v>1.0629999999999999</v>
      </c>
      <c r="X37" s="9">
        <v>2.8980525717641301E-2</v>
      </c>
      <c r="Y37" s="9">
        <v>1.083</v>
      </c>
      <c r="Z37" s="10">
        <v>1.12355345772792E-2</v>
      </c>
      <c r="AA37" s="51">
        <f>P37-E37</f>
        <v>3</v>
      </c>
      <c r="AB37" s="18">
        <f>L37-W37</f>
        <v>0.55400000000000005</v>
      </c>
      <c r="AC37" s="25">
        <f>AB37/L37</f>
        <v>0.34260977118119978</v>
      </c>
      <c r="AD37" s="9">
        <f>N37-Y37</f>
        <v>2.9139999999999997</v>
      </c>
      <c r="AE37" s="32">
        <f>AD37/N37</f>
        <v>0.7290467850888166</v>
      </c>
      <c r="AF37" s="1">
        <v>0</v>
      </c>
      <c r="AG37" s="1">
        <v>-1379.1279999999999</v>
      </c>
      <c r="AH37" s="1">
        <v>37.2193630413311</v>
      </c>
      <c r="AI37" s="1">
        <v>400</v>
      </c>
      <c r="AJ37" s="9" t="e">
        <f t="shared" ref="AJ37:AJ42" si="54">(AI37*500-400*(500-AF37))/AF37</f>
        <v>#DIV/0!</v>
      </c>
      <c r="AK37" s="9" t="e">
        <f t="shared" si="51"/>
        <v>#DIV/0!</v>
      </c>
      <c r="AL37" s="1">
        <v>0</v>
      </c>
      <c r="AM37" s="1">
        <v>3.3239999999999998</v>
      </c>
      <c r="AN37" s="1">
        <v>8.0914413330191906E-2</v>
      </c>
      <c r="AO37" s="1">
        <v>1.3979999999999999</v>
      </c>
      <c r="AP37" s="1">
        <v>5.2960377672429899E-2</v>
      </c>
    </row>
    <row r="38" spans="1:42" s="2" customFormat="1" x14ac:dyDescent="0.3">
      <c r="C38" s="2">
        <v>3337</v>
      </c>
      <c r="D38" s="2">
        <v>38</v>
      </c>
      <c r="E38" s="11">
        <v>854</v>
      </c>
      <c r="F38" s="12">
        <v>7.5709999999999997</v>
      </c>
      <c r="G38" s="12">
        <v>5.5117587432182997</v>
      </c>
      <c r="H38" s="12">
        <v>95.293999999999997</v>
      </c>
      <c r="I38" s="12">
        <f t="shared" si="49"/>
        <v>43.201405152224822</v>
      </c>
      <c r="J38" s="9">
        <f t="shared" si="52"/>
        <v>1.1368790829532849</v>
      </c>
      <c r="K38" s="12">
        <v>4.03537406045682</v>
      </c>
      <c r="L38" s="12">
        <v>1.5</v>
      </c>
      <c r="M38" s="12">
        <v>4.8107320797507597E-2</v>
      </c>
      <c r="N38" s="12">
        <v>2.8079999999999998</v>
      </c>
      <c r="O38" s="13">
        <v>3.32903025556128E-2</v>
      </c>
      <c r="P38" s="11">
        <v>1000</v>
      </c>
      <c r="Q38" s="12">
        <v>69.02</v>
      </c>
      <c r="R38" s="12">
        <v>0.24584556135923999</v>
      </c>
      <c r="S38" s="12">
        <v>41.454000000000001</v>
      </c>
      <c r="T38" s="12">
        <f t="shared" si="50"/>
        <v>41.454000000000001</v>
      </c>
      <c r="U38" s="9">
        <f t="shared" si="53"/>
        <v>1.0908947368421054</v>
      </c>
      <c r="V38" s="12">
        <v>8.7747271089097606E-2</v>
      </c>
      <c r="W38" s="12">
        <v>0.89</v>
      </c>
      <c r="X38" s="12">
        <v>2.7288177745035301E-2</v>
      </c>
      <c r="Y38" s="12">
        <v>1.1200000000000001</v>
      </c>
      <c r="Z38" s="13">
        <v>1.1032756759836599E-2</v>
      </c>
      <c r="AA38" s="52">
        <f>P38-E38</f>
        <v>146</v>
      </c>
      <c r="AB38" s="19">
        <f>L38-W38</f>
        <v>0.61</v>
      </c>
      <c r="AC38" s="26">
        <f>AB38/L38</f>
        <v>0.40666666666666668</v>
      </c>
      <c r="AD38" s="12">
        <f>N38-Y38</f>
        <v>1.6879999999999997</v>
      </c>
      <c r="AE38" s="33">
        <f>AD38/N38</f>
        <v>0.60113960113960108</v>
      </c>
      <c r="AJ38" s="9" t="e">
        <f t="shared" si="54"/>
        <v>#DIV/0!</v>
      </c>
      <c r="AK38" s="9" t="e">
        <f t="shared" si="51"/>
        <v>#DIV/0!</v>
      </c>
    </row>
    <row r="39" spans="1:42" s="2" customFormat="1" x14ac:dyDescent="0.3">
      <c r="C39" s="2">
        <v>4337</v>
      </c>
      <c r="D39" s="2">
        <v>48</v>
      </c>
      <c r="E39" s="11">
        <v>585</v>
      </c>
      <c r="F39" s="12">
        <v>-85.076999999999998</v>
      </c>
      <c r="G39" s="12">
        <v>7.01140534243142</v>
      </c>
      <c r="H39" s="12">
        <v>271.512</v>
      </c>
      <c r="I39" s="9">
        <f t="shared" si="49"/>
        <v>180.36239316239318</v>
      </c>
      <c r="J39" s="9">
        <f t="shared" si="52"/>
        <v>3.7575498575498578</v>
      </c>
      <c r="K39" s="12">
        <v>3.62594226557915</v>
      </c>
      <c r="L39" s="12">
        <v>4.984</v>
      </c>
      <c r="M39" s="12">
        <v>7.2408473171217902E-2</v>
      </c>
      <c r="N39" s="12">
        <v>22.681999999999999</v>
      </c>
      <c r="O39" s="13">
        <v>0.120537983247627</v>
      </c>
      <c r="P39" s="11">
        <v>0</v>
      </c>
      <c r="Q39" s="12">
        <v>-387.19600000000003</v>
      </c>
      <c r="R39" s="12">
        <v>0.66208907704775299</v>
      </c>
      <c r="S39" s="12">
        <v>400</v>
      </c>
      <c r="T39" s="9" t="e">
        <f t="shared" si="50"/>
        <v>#DIV/0!</v>
      </c>
      <c r="U39" s="9" t="e">
        <f t="shared" si="53"/>
        <v>#DIV/0!</v>
      </c>
      <c r="V39" s="12">
        <v>0</v>
      </c>
      <c r="W39" s="12">
        <v>1.4630000000000001</v>
      </c>
      <c r="X39" s="12">
        <v>3.5971167967205599E-2</v>
      </c>
      <c r="Y39" s="12">
        <v>5.4009999999999998</v>
      </c>
      <c r="Z39" s="13">
        <v>4.3128401999831298E-2</v>
      </c>
      <c r="AA39" s="52">
        <f>P39-E39</f>
        <v>-585</v>
      </c>
      <c r="AB39" s="19">
        <f>L39-W39</f>
        <v>3.5209999999999999</v>
      </c>
      <c r="AC39" s="26">
        <f>AB39/L39</f>
        <v>0.7064606741573034</v>
      </c>
      <c r="AD39" s="12">
        <f>N39-Y39</f>
        <v>17.280999999999999</v>
      </c>
      <c r="AE39" s="33">
        <f>AD39/N39</f>
        <v>0.76188166828322013</v>
      </c>
      <c r="AJ39" s="9" t="e">
        <f t="shared" si="54"/>
        <v>#DIV/0!</v>
      </c>
      <c r="AK39" s="9" t="e">
        <f t="shared" si="51"/>
        <v>#DIV/0!</v>
      </c>
    </row>
    <row r="40" spans="1:42" s="2" customFormat="1" x14ac:dyDescent="0.3">
      <c r="C40" s="2">
        <v>5337</v>
      </c>
      <c r="D40" s="2">
        <v>60</v>
      </c>
      <c r="E40" s="11">
        <v>542</v>
      </c>
      <c r="F40" s="12">
        <v>-133.559</v>
      </c>
      <c r="G40" s="12">
        <v>8.2260937958509892</v>
      </c>
      <c r="H40" s="12">
        <v>238.73099999999999</v>
      </c>
      <c r="I40" s="9">
        <f t="shared" si="49"/>
        <v>102.45571955719558</v>
      </c>
      <c r="J40" s="9">
        <f t="shared" si="52"/>
        <v>1.7075953259532597</v>
      </c>
      <c r="K40" s="12">
        <v>4.7381425298985702</v>
      </c>
      <c r="L40" s="12">
        <v>4.734</v>
      </c>
      <c r="M40" s="12">
        <v>6.1587637047032698E-2</v>
      </c>
      <c r="N40" s="12">
        <v>10.717000000000001</v>
      </c>
      <c r="O40" s="13">
        <v>6.22799308749599E-2</v>
      </c>
      <c r="P40" s="11">
        <v>0</v>
      </c>
      <c r="Q40" s="12">
        <v>-408.31599999999997</v>
      </c>
      <c r="R40" s="12">
        <v>0.84066691671842597</v>
      </c>
      <c r="S40" s="12">
        <v>400</v>
      </c>
      <c r="T40" s="9" t="e">
        <f t="shared" si="50"/>
        <v>#DIV/0!</v>
      </c>
      <c r="U40" s="9" t="e">
        <f t="shared" si="53"/>
        <v>#DIV/0!</v>
      </c>
      <c r="V40" s="12">
        <v>0</v>
      </c>
      <c r="W40" s="12">
        <v>3.4980000000000002</v>
      </c>
      <c r="X40" s="12">
        <v>5.58848737953224E-2</v>
      </c>
      <c r="Y40" s="12">
        <v>2.4969999999999999</v>
      </c>
      <c r="Z40" s="13">
        <v>3.3483012291490602E-2</v>
      </c>
      <c r="AA40" s="52">
        <f>P40-E40</f>
        <v>-542</v>
      </c>
      <c r="AB40" s="19">
        <f>L40-W40</f>
        <v>1.2359999999999998</v>
      </c>
      <c r="AC40" s="26">
        <f>AB40/L40</f>
        <v>0.26108998732572875</v>
      </c>
      <c r="AD40" s="12">
        <f>N40-Y40</f>
        <v>8.2200000000000006</v>
      </c>
      <c r="AE40" s="33">
        <f>AD40/N40</f>
        <v>0.76700569189138756</v>
      </c>
      <c r="AJ40" s="9" t="e">
        <f t="shared" si="54"/>
        <v>#DIV/0!</v>
      </c>
      <c r="AK40" s="9" t="e">
        <f t="shared" si="51"/>
        <v>#DIV/0!</v>
      </c>
    </row>
    <row r="41" spans="1:42" s="2" customFormat="1" x14ac:dyDescent="0.3">
      <c r="C41" s="2">
        <v>6337</v>
      </c>
      <c r="D41" s="2">
        <v>35</v>
      </c>
      <c r="E41" s="11">
        <v>252</v>
      </c>
      <c r="F41" s="12">
        <v>-302.661</v>
      </c>
      <c r="G41" s="12">
        <v>10.097592854758</v>
      </c>
      <c r="H41" s="12">
        <v>343.68900000000002</v>
      </c>
      <c r="I41" s="9">
        <f t="shared" si="49"/>
        <v>176.54365079365078</v>
      </c>
      <c r="J41" s="9">
        <f t="shared" si="52"/>
        <v>5.0441043083900228</v>
      </c>
      <c r="K41" s="12">
        <v>3.2755129772700098</v>
      </c>
      <c r="L41" s="12">
        <v>6.45</v>
      </c>
      <c r="M41" s="12">
        <v>8.6689186263426199E-2</v>
      </c>
      <c r="N41" s="12">
        <v>17.809999999999999</v>
      </c>
      <c r="O41" s="13">
        <v>0.16758276756273</v>
      </c>
      <c r="P41" s="11"/>
      <c r="Q41" s="12"/>
      <c r="R41" s="12"/>
      <c r="S41" s="12"/>
      <c r="T41" s="9" t="e">
        <f t="shared" si="50"/>
        <v>#DIV/0!</v>
      </c>
      <c r="U41" s="9" t="e">
        <f t="shared" si="53"/>
        <v>#DIV/0!</v>
      </c>
      <c r="V41" s="12"/>
      <c r="W41" s="12"/>
      <c r="X41" s="12"/>
      <c r="Y41" s="12"/>
      <c r="Z41" s="13"/>
      <c r="AA41" s="52">
        <f>P41-E41</f>
        <v>-252</v>
      </c>
      <c r="AB41" s="19">
        <f>L41-W41</f>
        <v>6.45</v>
      </c>
      <c r="AC41" s="26">
        <f>AB41/L41</f>
        <v>1</v>
      </c>
      <c r="AD41" s="12">
        <f>N41-Y41</f>
        <v>17.809999999999999</v>
      </c>
      <c r="AE41" s="33">
        <f>AD41/N41</f>
        <v>1</v>
      </c>
      <c r="AJ41" s="9" t="e">
        <f t="shared" si="54"/>
        <v>#DIV/0!</v>
      </c>
      <c r="AK41" s="9" t="e">
        <f t="shared" si="51"/>
        <v>#DIV/0!</v>
      </c>
    </row>
    <row r="42" spans="1:42" s="1" customFormat="1" x14ac:dyDescent="0.3">
      <c r="B42" s="1" t="s">
        <v>18</v>
      </c>
      <c r="C42" s="1">
        <v>3337</v>
      </c>
      <c r="D42" s="1">
        <v>33</v>
      </c>
      <c r="E42" s="8">
        <v>1000</v>
      </c>
      <c r="F42" s="9">
        <v>80.930999999999997</v>
      </c>
      <c r="G42" s="9">
        <v>0.51500628197185105</v>
      </c>
      <c r="H42" s="9">
        <v>40.726999999999997</v>
      </c>
      <c r="I42" s="9">
        <f t="shared" si="49"/>
        <v>40.726999999999997</v>
      </c>
      <c r="J42" s="9">
        <f t="shared" si="43"/>
        <v>1.234151515151515</v>
      </c>
      <c r="K42" s="9">
        <v>9.5465096158672394E-2</v>
      </c>
      <c r="L42" s="9">
        <v>1.1499999999999999</v>
      </c>
      <c r="M42" s="9">
        <v>3.1788527970173598E-2</v>
      </c>
      <c r="N42" s="9">
        <v>2.8730000000000002</v>
      </c>
      <c r="O42" s="10">
        <v>1.2370287952348701E-2</v>
      </c>
      <c r="P42" s="8">
        <v>1000</v>
      </c>
      <c r="Q42" s="9">
        <v>67.658000000000001</v>
      </c>
      <c r="R42" s="9">
        <v>0.23532193355573999</v>
      </c>
      <c r="S42" s="9">
        <v>42.951000000000001</v>
      </c>
      <c r="T42" s="9">
        <f t="shared" si="50"/>
        <v>42.951000000000001</v>
      </c>
      <c r="U42" s="9">
        <f t="shared" si="53"/>
        <v>1.3015454545454546</v>
      </c>
      <c r="V42" s="9">
        <v>7.6028806247233502E-2</v>
      </c>
      <c r="W42" s="9">
        <v>0.92500000000000004</v>
      </c>
      <c r="X42" s="9">
        <v>2.7643066746277201E-2</v>
      </c>
      <c r="Y42" s="9">
        <v>1.032</v>
      </c>
      <c r="Z42" s="10">
        <v>5.5683935750813198E-3</v>
      </c>
      <c r="AA42" s="51">
        <f>P42-E42</f>
        <v>0</v>
      </c>
      <c r="AB42" s="18">
        <f>L42-W42</f>
        <v>0.22499999999999987</v>
      </c>
      <c r="AC42" s="25">
        <f>AB42/L42</f>
        <v>0.19565217391304338</v>
      </c>
      <c r="AD42" s="9">
        <f>N42-Y42</f>
        <v>1.8410000000000002</v>
      </c>
      <c r="AE42" s="32">
        <f>AD42/N42</f>
        <v>0.64079359554472681</v>
      </c>
      <c r="AF42" s="1">
        <v>1</v>
      </c>
      <c r="AG42" s="1">
        <v>-2954.8980000000001</v>
      </c>
      <c r="AH42" s="1">
        <v>24.748259411113299</v>
      </c>
      <c r="AI42" s="1">
        <v>399.54399999999998</v>
      </c>
      <c r="AJ42" s="9">
        <f t="shared" si="54"/>
        <v>172</v>
      </c>
      <c r="AK42" s="9">
        <f t="shared" si="51"/>
        <v>5.2121212121212119</v>
      </c>
      <c r="AL42" s="1">
        <v>0.45599999999999902</v>
      </c>
      <c r="AM42" s="1">
        <v>1.35</v>
      </c>
      <c r="AN42" s="1">
        <v>0.05</v>
      </c>
      <c r="AO42" s="1">
        <v>2E-3</v>
      </c>
      <c r="AP42" s="1">
        <v>2E-3</v>
      </c>
    </row>
    <row r="43" spans="1:42" x14ac:dyDescent="0.3">
      <c r="C43" t="s">
        <v>11</v>
      </c>
      <c r="E43" s="6">
        <f>AVERAGE(E36:E42)</f>
        <v>747</v>
      </c>
      <c r="F43" s="14">
        <f>AVERAGE(F36:F42)</f>
        <v>-36.55885714285715</v>
      </c>
      <c r="G43" s="14">
        <f>AVERAGE(G36:G42)</f>
        <v>5.0886110075319717</v>
      </c>
      <c r="H43" s="14">
        <f>AVERAGE(H36:H42)</f>
        <v>153.57814285714286</v>
      </c>
      <c r="I43" s="14"/>
      <c r="J43" s="9" t="e">
        <f t="shared" si="43"/>
        <v>#DIV/0!</v>
      </c>
      <c r="K43" s="14">
        <f>AVERAGE(K36:K42)</f>
        <v>2.3970710123545236</v>
      </c>
      <c r="L43" s="14">
        <f>AVERAGE(L36:L42)</f>
        <v>3.1794285714285713</v>
      </c>
      <c r="M43" s="14">
        <f>AVERAGE(M36:M42)</f>
        <v>5.2970266305780375E-2</v>
      </c>
      <c r="N43" s="14">
        <f>AVERAGE(N36:N42)</f>
        <v>9.3077142857142849</v>
      </c>
      <c r="O43" s="15">
        <f>AVERAGE(O36:O42)</f>
        <v>6.2378992812994742E-2</v>
      </c>
      <c r="P43" s="6">
        <f>AVERAGE(P36:P42)</f>
        <v>666.66666666666663</v>
      </c>
      <c r="Q43" s="14">
        <f>AVERAGE(Q36:Q42)</f>
        <v>-85.254499999999993</v>
      </c>
      <c r="R43" s="14">
        <f>AVERAGE(R36:R42)</f>
        <v>0.41840773706987405</v>
      </c>
      <c r="S43" s="14">
        <f>AVERAGE(S36:S42)</f>
        <v>160.15183333333334</v>
      </c>
      <c r="T43" s="14"/>
      <c r="U43" s="9" t="e">
        <f>S43/D43</f>
        <v>#DIV/0!</v>
      </c>
      <c r="V43" s="14">
        <f t="shared" ref="V43" si="55">AVERAGE(V36:V41)</f>
        <v>5.5708872263085671E-2</v>
      </c>
      <c r="W43" s="14">
        <f>AVERAGE(W36:W42)</f>
        <v>1.5525000000000002</v>
      </c>
      <c r="X43" s="14">
        <f t="shared" ref="X43" si="56">AVERAGE(X36:X41)</f>
        <v>3.6119495922163222E-2</v>
      </c>
      <c r="Y43" s="14">
        <f t="shared" ref="Y43" si="57">AVERAGE(Y36:Y41)</f>
        <v>2.2311999999999999</v>
      </c>
      <c r="Z43" s="15">
        <f t="shared" ref="Z43" si="58">AVERAGE(Z36:Z41)</f>
        <v>2.1218536384615381E-2</v>
      </c>
      <c r="AA43" s="53">
        <f>P43-E43</f>
        <v>-80.333333333333371</v>
      </c>
      <c r="AB43" s="20">
        <f>L43-W43</f>
        <v>1.6269285714285711</v>
      </c>
      <c r="AC43" s="27">
        <f>AB43/L43</f>
        <v>0.51170470884255925</v>
      </c>
      <c r="AD43" s="14">
        <f>N43-Y43</f>
        <v>7.0765142857142855</v>
      </c>
      <c r="AE43" s="34">
        <f>AD43/N43</f>
        <v>0.76028486355404123</v>
      </c>
      <c r="AJ43" s="5"/>
      <c r="AK43" s="9">
        <f t="shared" si="45"/>
        <v>0</v>
      </c>
    </row>
    <row r="44" spans="1:42" x14ac:dyDescent="0.3">
      <c r="E44" s="14">
        <f t="shared" ref="E44:AJ44" si="59">AVERAGE(E42,E37,E36)</f>
        <v>998.66666666666663</v>
      </c>
      <c r="F44" s="14">
        <f t="shared" si="59"/>
        <v>85.938000000000002</v>
      </c>
      <c r="G44" s="14">
        <f t="shared" si="59"/>
        <v>1.5911421054883632</v>
      </c>
      <c r="H44" s="14">
        <f t="shared" si="59"/>
        <v>41.940333333333335</v>
      </c>
      <c r="I44" s="14"/>
      <c r="J44" s="9">
        <f t="shared" si="59"/>
        <v>1.2812581198261572</v>
      </c>
      <c r="K44" s="14">
        <f t="shared" si="59"/>
        <v>0.36817508442570573</v>
      </c>
      <c r="L44" s="14">
        <f t="shared" si="59"/>
        <v>1.5293333333333334</v>
      </c>
      <c r="M44" s="14">
        <f t="shared" si="59"/>
        <v>3.3999748953759401E-2</v>
      </c>
      <c r="N44" s="14">
        <f t="shared" si="59"/>
        <v>3.7123333333333335</v>
      </c>
      <c r="O44" s="15">
        <f t="shared" si="59"/>
        <v>1.7653988483344499E-2</v>
      </c>
      <c r="P44" s="20">
        <f t="shared" si="59"/>
        <v>1000</v>
      </c>
      <c r="Q44" s="14">
        <f t="shared" si="59"/>
        <v>71.655000000000015</v>
      </c>
      <c r="R44" s="14">
        <f t="shared" si="59"/>
        <v>0.25394828909794165</v>
      </c>
      <c r="S44" s="14">
        <f t="shared" si="59"/>
        <v>39.818999999999996</v>
      </c>
      <c r="T44" s="14"/>
      <c r="U44" s="9">
        <f t="shared" si="59"/>
        <v>1.2289491691104593</v>
      </c>
      <c r="V44" s="14">
        <f t="shared" si="59"/>
        <v>8.8941965491188102E-2</v>
      </c>
      <c r="W44" s="14">
        <f t="shared" si="59"/>
        <v>1.1546666666666667</v>
      </c>
      <c r="X44" s="14">
        <f t="shared" si="59"/>
        <v>2.9698775616510003E-2</v>
      </c>
      <c r="Y44" s="14">
        <f t="shared" si="59"/>
        <v>1.0566666666666666</v>
      </c>
      <c r="Z44" s="15">
        <f t="shared" si="59"/>
        <v>8.0056348156665735E-3</v>
      </c>
      <c r="AA44" s="53">
        <f t="shared" si="59"/>
        <v>1.3333333333333333</v>
      </c>
      <c r="AB44" s="20">
        <f t="shared" si="59"/>
        <v>0.37466666666666665</v>
      </c>
      <c r="AC44" s="27">
        <f t="shared" si="59"/>
        <v>0.24257276258770213</v>
      </c>
      <c r="AD44" s="14">
        <f t="shared" si="59"/>
        <v>2.6556666666666668</v>
      </c>
      <c r="AE44" s="34">
        <f t="shared" si="59"/>
        <v>0.70753135725047489</v>
      </c>
      <c r="AF44" s="20">
        <f>(AF42+AF37+AF36)/(500*3)</f>
        <v>6.6666666666666671E-3</v>
      </c>
      <c r="AG44" s="20">
        <f t="shared" si="59"/>
        <v>-2086.4540000000002</v>
      </c>
      <c r="AH44" s="20">
        <f t="shared" si="59"/>
        <v>33.611367351604436</v>
      </c>
      <c r="AI44" s="20">
        <f t="shared" si="59"/>
        <v>399.0813333333333</v>
      </c>
      <c r="AJ44" s="20">
        <f>AVERAGE(AJ42,AJ36)</f>
        <v>222.11111111111111</v>
      </c>
      <c r="AK44" s="9" t="e">
        <f t="shared" ref="AK44:AP44" si="60">AVERAGE(AK42,AK37,AK36)</f>
        <v>#DIV/0!</v>
      </c>
      <c r="AL44" s="9">
        <f t="shared" si="60"/>
        <v>0.44342346000942562</v>
      </c>
      <c r="AM44" s="9">
        <f t="shared" si="60"/>
        <v>1.8979999999999997</v>
      </c>
      <c r="AN44" s="9">
        <f t="shared" si="60"/>
        <v>6.1063104955597601E-2</v>
      </c>
      <c r="AO44" s="9">
        <f t="shared" si="60"/>
        <v>0.504</v>
      </c>
      <c r="AP44" s="9">
        <f t="shared" si="60"/>
        <v>2.3477545374353665E-2</v>
      </c>
    </row>
    <row r="45" spans="1:42" s="1" customFormat="1" x14ac:dyDescent="0.3">
      <c r="B45" s="1" t="s">
        <v>3</v>
      </c>
      <c r="C45" s="1">
        <v>1337</v>
      </c>
      <c r="D45" s="1">
        <v>31</v>
      </c>
      <c r="E45" s="8">
        <v>1000</v>
      </c>
      <c r="F45" s="9">
        <v>112.676</v>
      </c>
      <c r="G45" s="9">
        <v>0.202583474311366</v>
      </c>
      <c r="H45" s="9">
        <v>39.081000000000003</v>
      </c>
      <c r="I45" s="9">
        <f t="shared" ref="I45:I51" si="61">(H45*1000-400*(1000-E45))/E45</f>
        <v>39.081000000000003</v>
      </c>
      <c r="J45" s="9">
        <f>I45/D45</f>
        <v>1.2606774193548389</v>
      </c>
      <c r="K45" s="9">
        <v>7.8921908667160701E-2</v>
      </c>
      <c r="L45" s="3" t="s">
        <v>16</v>
      </c>
      <c r="M45" s="3" t="s">
        <v>16</v>
      </c>
      <c r="N45" s="9">
        <v>8.8989999999999991</v>
      </c>
      <c r="O45" s="10">
        <v>2.01296846523785E-2</v>
      </c>
      <c r="P45" s="8">
        <v>1000</v>
      </c>
      <c r="Q45" s="9">
        <v>81.373999999999995</v>
      </c>
      <c r="R45" s="9">
        <v>0.222507603541168</v>
      </c>
      <c r="S45" s="9">
        <v>35.082000000000001</v>
      </c>
      <c r="T45" s="9">
        <f t="shared" ref="T45:T51" si="62">(S45*1000-200*(1000-P45))/P45</f>
        <v>35.082000000000001</v>
      </c>
      <c r="U45" s="9">
        <f t="shared" ref="U45:U51" si="63">T45/D45</f>
        <v>1.1316774193548387</v>
      </c>
      <c r="V45" s="9">
        <v>0.112106395196009</v>
      </c>
      <c r="W45" s="3" t="s">
        <v>16</v>
      </c>
      <c r="X45" s="3" t="s">
        <v>16</v>
      </c>
      <c r="Y45" s="9">
        <v>3.0739999999999998</v>
      </c>
      <c r="Z45" s="10">
        <v>1.1860213516824401E-2</v>
      </c>
      <c r="AA45" s="51">
        <f>P45-E45</f>
        <v>0</v>
      </c>
      <c r="AB45" s="21" t="s">
        <v>16</v>
      </c>
      <c r="AC45" s="28"/>
      <c r="AD45" s="9">
        <f>N45-Y45</f>
        <v>5.8249999999999993</v>
      </c>
      <c r="AE45" s="35">
        <f>AD45/N45</f>
        <v>0.65456792898078431</v>
      </c>
      <c r="AF45" s="1">
        <v>0</v>
      </c>
      <c r="AG45" s="1">
        <v>-3766</v>
      </c>
      <c r="AH45" s="1">
        <v>0</v>
      </c>
      <c r="AI45" s="1">
        <v>400</v>
      </c>
      <c r="AJ45" s="9" t="e">
        <f t="shared" ref="AJ45:AJ51" si="64">(AI45*500-400*(500-AF45))/AF45</f>
        <v>#DIV/0!</v>
      </c>
      <c r="AK45" s="9" t="e">
        <f t="shared" ref="AK45:AK51" si="65">AJ45/D45</f>
        <v>#DIV/0!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</row>
    <row r="46" spans="1:42" s="2" customFormat="1" x14ac:dyDescent="0.3">
      <c r="B46" s="2" t="s">
        <v>22</v>
      </c>
      <c r="C46" s="2">
        <v>2337</v>
      </c>
      <c r="D46" s="2">
        <v>33</v>
      </c>
      <c r="E46" s="11">
        <v>15</v>
      </c>
      <c r="F46" s="12">
        <v>-370.505</v>
      </c>
      <c r="G46" s="12">
        <v>1.9312383738566901</v>
      </c>
      <c r="H46" s="12">
        <v>394.82299999999998</v>
      </c>
      <c r="I46" s="12">
        <f t="shared" si="61"/>
        <v>54.866666666666667</v>
      </c>
      <c r="J46" s="9">
        <f t="shared" ref="J46:J50" si="66">I46/D46</f>
        <v>1.6626262626262627</v>
      </c>
      <c r="K46" s="12">
        <v>1.3283064665464299</v>
      </c>
      <c r="L46" s="4" t="s">
        <v>16</v>
      </c>
      <c r="M46" s="4" t="s">
        <v>16</v>
      </c>
      <c r="N46" s="12">
        <v>5.0110000000000001</v>
      </c>
      <c r="O46" s="13">
        <v>2.3439889684647101E-2</v>
      </c>
      <c r="P46" s="11">
        <v>1000</v>
      </c>
      <c r="Q46" s="12">
        <v>61.923999999999999</v>
      </c>
      <c r="R46" s="12">
        <v>0.71103572047808905</v>
      </c>
      <c r="S46" s="12">
        <v>43.558</v>
      </c>
      <c r="T46" s="12">
        <f t="shared" si="62"/>
        <v>43.558</v>
      </c>
      <c r="U46" s="9">
        <f t="shared" si="63"/>
        <v>1.319939393939394</v>
      </c>
      <c r="V46" s="12">
        <v>0.708888678961061</v>
      </c>
      <c r="W46" s="4" t="s">
        <v>16</v>
      </c>
      <c r="X46" s="4" t="s">
        <v>16</v>
      </c>
      <c r="Y46" s="12">
        <v>1.1759999999999999</v>
      </c>
      <c r="Z46" s="13">
        <v>1.55327159655118E-2</v>
      </c>
      <c r="AA46" s="52">
        <f>P46-E46</f>
        <v>985</v>
      </c>
      <c r="AB46" s="22" t="s">
        <v>16</v>
      </c>
      <c r="AC46" s="29"/>
      <c r="AD46" s="12">
        <f>N46-Y46</f>
        <v>3.835</v>
      </c>
      <c r="AE46" s="36">
        <f>AD46/N46</f>
        <v>0.76531630413091201</v>
      </c>
      <c r="AJ46" s="9" t="e">
        <f t="shared" si="64"/>
        <v>#DIV/0!</v>
      </c>
      <c r="AK46" s="9" t="e">
        <f t="shared" si="65"/>
        <v>#DIV/0!</v>
      </c>
    </row>
    <row r="47" spans="1:42" s="1" customFormat="1" x14ac:dyDescent="0.3">
      <c r="C47" s="1">
        <v>3337</v>
      </c>
      <c r="D47" s="1">
        <v>38</v>
      </c>
      <c r="E47" s="8">
        <v>999</v>
      </c>
      <c r="F47" s="9">
        <v>88.209000000000003</v>
      </c>
      <c r="G47" s="9">
        <v>0.55993289226821097</v>
      </c>
      <c r="H47" s="9">
        <v>43.817999999999998</v>
      </c>
      <c r="I47" s="12">
        <f t="shared" si="61"/>
        <v>43.461461461461461</v>
      </c>
      <c r="J47" s="9">
        <f t="shared" si="66"/>
        <v>1.1437226700384595</v>
      </c>
      <c r="K47" s="9">
        <v>0.42502414228079</v>
      </c>
      <c r="L47" s="3" t="s">
        <v>16</v>
      </c>
      <c r="M47" s="3" t="s">
        <v>16</v>
      </c>
      <c r="N47" s="9">
        <v>5.4729999999999999</v>
      </c>
      <c r="O47" s="10">
        <v>2.7459516110540299E-2</v>
      </c>
      <c r="P47" s="8">
        <v>965</v>
      </c>
      <c r="Q47" s="9">
        <v>37.125999999999998</v>
      </c>
      <c r="R47" s="9">
        <v>2.9224587061049898</v>
      </c>
      <c r="S47" s="9">
        <v>63.152999999999999</v>
      </c>
      <c r="T47" s="12">
        <f t="shared" si="62"/>
        <v>58.189637305699485</v>
      </c>
      <c r="U47" s="9">
        <f t="shared" si="63"/>
        <v>1.5313062448868286</v>
      </c>
      <c r="V47" s="9">
        <v>2.2630264867826599</v>
      </c>
      <c r="W47" s="3" t="s">
        <v>16</v>
      </c>
      <c r="X47" s="3" t="s">
        <v>16</v>
      </c>
      <c r="Y47" s="9">
        <v>1.0029999999999999</v>
      </c>
      <c r="Z47" s="10">
        <v>1.1795343578299399E-2</v>
      </c>
      <c r="AA47" s="51">
        <f>P47-E47</f>
        <v>-34</v>
      </c>
      <c r="AB47" s="21" t="s">
        <v>16</v>
      </c>
      <c r="AC47" s="28"/>
      <c r="AD47" s="9">
        <f>N47-Y47</f>
        <v>4.47</v>
      </c>
      <c r="AE47" s="35">
        <f>AD47/N47</f>
        <v>0.81673670747304949</v>
      </c>
      <c r="AF47" s="1">
        <v>0</v>
      </c>
      <c r="AG47" s="1">
        <v>-3775</v>
      </c>
      <c r="AH47" s="1">
        <v>0</v>
      </c>
      <c r="AI47" s="1">
        <v>400</v>
      </c>
      <c r="AJ47" s="9" t="e">
        <f t="shared" si="64"/>
        <v>#DIV/0!</v>
      </c>
      <c r="AK47" s="9" t="e">
        <f t="shared" si="65"/>
        <v>#DIV/0!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</row>
    <row r="48" spans="1:42" s="2" customFormat="1" x14ac:dyDescent="0.3">
      <c r="C48" s="2">
        <v>4337</v>
      </c>
      <c r="D48" s="2">
        <v>48</v>
      </c>
      <c r="E48" s="11">
        <v>5</v>
      </c>
      <c r="F48" s="12">
        <v>-271.77999999999997</v>
      </c>
      <c r="G48" s="12">
        <v>4.0794386157189999</v>
      </c>
      <c r="H48" s="12">
        <v>399.71899999999999</v>
      </c>
      <c r="I48" s="9">
        <f t="shared" si="61"/>
        <v>343.8</v>
      </c>
      <c r="J48" s="9">
        <f t="shared" si="66"/>
        <v>7.1625000000000005</v>
      </c>
      <c r="K48" s="12">
        <v>0.185041290741497</v>
      </c>
      <c r="L48" s="4" t="s">
        <v>16</v>
      </c>
      <c r="M48" s="4" t="s">
        <v>16</v>
      </c>
      <c r="N48" s="12">
        <v>27.887</v>
      </c>
      <c r="O48" s="13">
        <v>0.15517832100944801</v>
      </c>
      <c r="P48" s="11">
        <v>0</v>
      </c>
      <c r="Q48" s="12">
        <v>-382.072</v>
      </c>
      <c r="R48" s="12">
        <v>0.50437209201858801</v>
      </c>
      <c r="S48" s="12">
        <v>400</v>
      </c>
      <c r="T48" s="9" t="e">
        <f t="shared" si="62"/>
        <v>#DIV/0!</v>
      </c>
      <c r="U48" s="9" t="e">
        <f t="shared" si="63"/>
        <v>#DIV/0!</v>
      </c>
      <c r="V48" s="12">
        <v>0</v>
      </c>
      <c r="W48" s="4" t="s">
        <v>16</v>
      </c>
      <c r="X48" s="4" t="s">
        <v>16</v>
      </c>
      <c r="Y48" s="12">
        <v>5.6790000000000003</v>
      </c>
      <c r="Z48" s="13">
        <v>3.6651088691910597E-2</v>
      </c>
      <c r="AA48" s="52">
        <f>P48-E48</f>
        <v>-5</v>
      </c>
      <c r="AB48" s="22" t="s">
        <v>16</v>
      </c>
      <c r="AC48" s="29"/>
      <c r="AD48" s="12">
        <f>N48-Y48</f>
        <v>22.207999999999998</v>
      </c>
      <c r="AE48" s="36">
        <f>AD48/N48</f>
        <v>0.79635672535590052</v>
      </c>
      <c r="AJ48" s="9" t="e">
        <f t="shared" si="64"/>
        <v>#DIV/0!</v>
      </c>
      <c r="AK48" s="9" t="e">
        <f t="shared" si="65"/>
        <v>#DIV/0!</v>
      </c>
    </row>
    <row r="49" spans="2:42" s="2" customFormat="1" x14ac:dyDescent="0.3">
      <c r="C49" s="2">
        <v>5337</v>
      </c>
      <c r="D49" s="2">
        <v>60</v>
      </c>
      <c r="E49" s="11">
        <v>34</v>
      </c>
      <c r="F49" s="12">
        <v>-471.40300000000002</v>
      </c>
      <c r="G49" s="12">
        <v>9.81059459754389</v>
      </c>
      <c r="H49" s="12">
        <v>389.709</v>
      </c>
      <c r="I49" s="9">
        <f t="shared" si="61"/>
        <v>97.32352941176471</v>
      </c>
      <c r="J49" s="9">
        <f t="shared" si="66"/>
        <v>1.6220588235294118</v>
      </c>
      <c r="K49" s="12">
        <v>1.7510998457168701</v>
      </c>
      <c r="L49" s="4" t="s">
        <v>16</v>
      </c>
      <c r="M49" s="4" t="s">
        <v>16</v>
      </c>
      <c r="N49" s="12">
        <v>11.78</v>
      </c>
      <c r="O49" s="13">
        <v>9.9596784684644904E-2</v>
      </c>
      <c r="P49" s="11">
        <v>0</v>
      </c>
      <c r="Q49" s="12">
        <v>-439.77699999999999</v>
      </c>
      <c r="R49" s="12">
        <v>0.77625759052446397</v>
      </c>
      <c r="S49" s="12">
        <v>400</v>
      </c>
      <c r="T49" s="9" t="e">
        <f t="shared" si="62"/>
        <v>#DIV/0!</v>
      </c>
      <c r="U49" s="9" t="e">
        <f t="shared" si="63"/>
        <v>#DIV/0!</v>
      </c>
      <c r="V49" s="12">
        <v>0</v>
      </c>
      <c r="W49" s="4" t="s">
        <v>16</v>
      </c>
      <c r="X49" s="4" t="s">
        <v>16</v>
      </c>
      <c r="Y49" s="12">
        <v>1.163</v>
      </c>
      <c r="Z49" s="13">
        <v>1.23524727720235E-2</v>
      </c>
      <c r="AA49" s="52">
        <f>P49-E49</f>
        <v>-34</v>
      </c>
      <c r="AB49" s="22" t="s">
        <v>16</v>
      </c>
      <c r="AC49" s="29"/>
      <c r="AD49" s="12">
        <f>N49-Y49</f>
        <v>10.616999999999999</v>
      </c>
      <c r="AE49" s="36">
        <f>AD49/N49</f>
        <v>0.90127334465195241</v>
      </c>
      <c r="AJ49" s="9" t="e">
        <f t="shared" si="64"/>
        <v>#DIV/0!</v>
      </c>
      <c r="AK49" s="9" t="e">
        <f t="shared" si="65"/>
        <v>#DIV/0!</v>
      </c>
    </row>
    <row r="50" spans="2:42" s="2" customFormat="1" x14ac:dyDescent="0.3">
      <c r="C50" s="2">
        <v>6337</v>
      </c>
      <c r="D50" s="2">
        <v>35</v>
      </c>
      <c r="E50" s="11">
        <v>0</v>
      </c>
      <c r="F50" s="12">
        <v>-267.334</v>
      </c>
      <c r="G50" s="12">
        <v>0.830188928893693</v>
      </c>
      <c r="H50" s="12">
        <v>400</v>
      </c>
      <c r="I50" s="9" t="e">
        <f t="shared" si="61"/>
        <v>#DIV/0!</v>
      </c>
      <c r="J50" s="9" t="e">
        <f t="shared" si="66"/>
        <v>#DIV/0!</v>
      </c>
      <c r="K50" s="12">
        <v>0</v>
      </c>
      <c r="L50" s="4" t="s">
        <v>16</v>
      </c>
      <c r="M50" s="4" t="s">
        <v>16</v>
      </c>
      <c r="N50" s="12">
        <v>26.065000000000001</v>
      </c>
      <c r="O50" s="13">
        <v>0.107751498297635</v>
      </c>
      <c r="P50" s="11"/>
      <c r="Q50" s="12"/>
      <c r="R50" s="12"/>
      <c r="S50" s="12"/>
      <c r="T50" s="9" t="e">
        <f t="shared" si="62"/>
        <v>#DIV/0!</v>
      </c>
      <c r="U50" s="9" t="e">
        <f t="shared" si="63"/>
        <v>#DIV/0!</v>
      </c>
      <c r="V50" s="12"/>
      <c r="W50" s="4" t="s">
        <v>16</v>
      </c>
      <c r="X50" s="4" t="s">
        <v>16</v>
      </c>
      <c r="Y50" s="12"/>
      <c r="Z50" s="13"/>
      <c r="AA50" s="52">
        <f>P50-E50</f>
        <v>0</v>
      </c>
      <c r="AB50" s="22"/>
      <c r="AC50" s="29"/>
      <c r="AD50" s="12">
        <f>N50-Y50</f>
        <v>26.065000000000001</v>
      </c>
      <c r="AE50" s="36">
        <f>AD50/N50</f>
        <v>1</v>
      </c>
      <c r="AJ50" s="9" t="e">
        <f t="shared" si="64"/>
        <v>#DIV/0!</v>
      </c>
      <c r="AK50" s="9" t="e">
        <f t="shared" si="65"/>
        <v>#DIV/0!</v>
      </c>
    </row>
    <row r="51" spans="2:42" s="1" customFormat="1" x14ac:dyDescent="0.3">
      <c r="B51" s="1" t="s">
        <v>18</v>
      </c>
      <c r="C51" s="1">
        <v>2337</v>
      </c>
      <c r="D51" s="1">
        <v>33</v>
      </c>
      <c r="E51" s="8">
        <v>997</v>
      </c>
      <c r="F51" s="9">
        <v>118.199</v>
      </c>
      <c r="G51" s="9">
        <v>1.50215107657547</v>
      </c>
      <c r="H51" s="9">
        <v>61.776000000000003</v>
      </c>
      <c r="I51" s="9">
        <f t="shared" si="61"/>
        <v>60.758274824473418</v>
      </c>
      <c r="J51" s="9">
        <f t="shared" si="43"/>
        <v>1.8720000000000001</v>
      </c>
      <c r="K51" s="9">
        <v>0.650432845793389</v>
      </c>
      <c r="L51" s="3"/>
      <c r="M51" s="3"/>
      <c r="N51" s="9">
        <v>13.801</v>
      </c>
      <c r="O51" s="10">
        <v>2.61166820457936E-2</v>
      </c>
      <c r="P51" s="8">
        <v>1000</v>
      </c>
      <c r="Q51" s="9">
        <v>61.79</v>
      </c>
      <c r="R51" s="9">
        <v>0.61544347479737704</v>
      </c>
      <c r="S51" s="9">
        <v>43.128</v>
      </c>
      <c r="T51" s="9">
        <f t="shared" si="62"/>
        <v>43.128</v>
      </c>
      <c r="U51" s="9">
        <f t="shared" si="63"/>
        <v>1.306909090909091</v>
      </c>
      <c r="V51" s="9">
        <v>0.55651534150041604</v>
      </c>
      <c r="W51" s="3" t="s">
        <v>16</v>
      </c>
      <c r="X51" s="3" t="s">
        <v>16</v>
      </c>
      <c r="Y51" s="9">
        <v>1.1240000000000001</v>
      </c>
      <c r="Z51" s="10">
        <v>1.0896914367964101E-2</v>
      </c>
      <c r="AA51" s="51">
        <f>P51-E51</f>
        <v>3</v>
      </c>
      <c r="AB51" s="21"/>
      <c r="AC51" s="28"/>
      <c r="AD51" s="9">
        <f>N51-Y51</f>
        <v>12.677</v>
      </c>
      <c r="AE51" s="35">
        <f>AD51/N51</f>
        <v>0.91855662633142521</v>
      </c>
      <c r="AF51" s="1">
        <v>0</v>
      </c>
      <c r="AG51" s="1">
        <v>-400</v>
      </c>
      <c r="AH51" s="1">
        <v>0</v>
      </c>
      <c r="AI51" s="1">
        <v>400</v>
      </c>
      <c r="AJ51" s="9" t="e">
        <f t="shared" si="64"/>
        <v>#DIV/0!</v>
      </c>
      <c r="AK51" s="9" t="e">
        <f t="shared" si="65"/>
        <v>#DIV/0!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</row>
    <row r="52" spans="2:42" x14ac:dyDescent="0.3">
      <c r="C52" t="s">
        <v>11</v>
      </c>
      <c r="E52" s="6">
        <f>AVERAGE(E45:E51)</f>
        <v>435.71428571428572</v>
      </c>
      <c r="F52" s="14">
        <f>AVERAGE(F45:F51)</f>
        <v>-151.70542857142854</v>
      </c>
      <c r="G52" s="14">
        <f>AVERAGE(G45:G51)</f>
        <v>2.7023039941669031</v>
      </c>
      <c r="H52" s="14">
        <f>AVERAGE(H45:H51)</f>
        <v>246.98942857142859</v>
      </c>
      <c r="I52" s="14"/>
      <c r="J52" s="9" t="e">
        <f t="shared" si="43"/>
        <v>#DIV/0!</v>
      </c>
      <c r="K52" s="14">
        <f>AVERAGE(K45:K51)</f>
        <v>0.63126092853516247</v>
      </c>
      <c r="L52" s="5" t="s">
        <v>16</v>
      </c>
      <c r="M52" s="5" t="s">
        <v>16</v>
      </c>
      <c r="N52" s="14">
        <f>AVERAGE(N45:N51)</f>
        <v>14.130857142857142</v>
      </c>
      <c r="O52" s="15">
        <f>AVERAGE(O45:O51)</f>
        <v>6.5667482355012477E-2</v>
      </c>
      <c r="P52" s="6">
        <f>AVERAGE(P45:P51)</f>
        <v>660.83333333333337</v>
      </c>
      <c r="Q52" s="14">
        <f>AVERAGE(Q45:Q51)</f>
        <v>-96.605833333333337</v>
      </c>
      <c r="R52" s="14">
        <f>AVERAGE(R45:R51)</f>
        <v>0.95867919791077938</v>
      </c>
      <c r="S52" s="14">
        <f>AVERAGE(S45:S51)</f>
        <v>164.15350000000001</v>
      </c>
      <c r="T52" s="14"/>
      <c r="U52" s="9" t="e">
        <f>S52/D52</f>
        <v>#DIV/0!</v>
      </c>
      <c r="V52" s="14">
        <f>AVERAGE(V45:V51)</f>
        <v>0.60675615040669106</v>
      </c>
      <c r="W52" s="5" t="s">
        <v>16</v>
      </c>
      <c r="X52" s="5" t="s">
        <v>16</v>
      </c>
      <c r="Y52" s="14">
        <f>AVERAGE(Y45:Y51)</f>
        <v>2.2031666666666667</v>
      </c>
      <c r="Z52" s="15">
        <f>AVERAGE(Z45:Z51)</f>
        <v>1.6514791482088967E-2</v>
      </c>
      <c r="AA52" s="53">
        <f>P52-E52</f>
        <v>225.11904761904765</v>
      </c>
      <c r="AB52" s="24" t="s">
        <v>16</v>
      </c>
      <c r="AC52" s="31"/>
      <c r="AD52" s="16">
        <f>N52-Y52</f>
        <v>11.927690476190476</v>
      </c>
      <c r="AE52" s="38">
        <f>AD52/N52</f>
        <v>0.84408824996293152</v>
      </c>
      <c r="AJ52" s="14"/>
      <c r="AK52" s="9">
        <f t="shared" si="45"/>
        <v>0</v>
      </c>
    </row>
    <row r="53" spans="2:42" x14ac:dyDescent="0.3">
      <c r="E53" s="48">
        <f t="shared" ref="E53:AP53" si="67">AVERAGE(E51,E47,E45)</f>
        <v>998.66666666666663</v>
      </c>
      <c r="F53" s="14">
        <f t="shared" si="67"/>
        <v>106.36133333333333</v>
      </c>
      <c r="G53" s="14">
        <f t="shared" si="67"/>
        <v>0.75488914771834903</v>
      </c>
      <c r="H53" s="14">
        <f t="shared" si="67"/>
        <v>48.225000000000001</v>
      </c>
      <c r="I53" s="14"/>
      <c r="J53" s="9">
        <f t="shared" si="67"/>
        <v>1.4254666964644329</v>
      </c>
      <c r="K53" s="14">
        <f t="shared" si="67"/>
        <v>0.38479296558044651</v>
      </c>
      <c r="L53" s="5" t="e">
        <f t="shared" si="67"/>
        <v>#DIV/0!</v>
      </c>
      <c r="M53" s="5" t="e">
        <f t="shared" si="67"/>
        <v>#DIV/0!</v>
      </c>
      <c r="N53" s="14">
        <f t="shared" si="67"/>
        <v>9.391</v>
      </c>
      <c r="O53" s="15">
        <f t="shared" si="67"/>
        <v>2.4568627602904135E-2</v>
      </c>
      <c r="P53" s="48">
        <f t="shared" si="67"/>
        <v>988.33333333333337</v>
      </c>
      <c r="Q53" s="14">
        <f t="shared" si="67"/>
        <v>60.096666666666664</v>
      </c>
      <c r="R53" s="14">
        <f t="shared" si="67"/>
        <v>1.253469928147845</v>
      </c>
      <c r="S53" s="14">
        <f t="shared" si="67"/>
        <v>47.121000000000002</v>
      </c>
      <c r="T53" s="14"/>
      <c r="U53" s="9">
        <f t="shared" si="67"/>
        <v>1.3232975850502529</v>
      </c>
      <c r="V53" s="14">
        <f t="shared" si="67"/>
        <v>0.97721607449302839</v>
      </c>
      <c r="W53" s="5" t="e">
        <f t="shared" si="67"/>
        <v>#DIV/0!</v>
      </c>
      <c r="X53" s="5" t="e">
        <f t="shared" si="67"/>
        <v>#DIV/0!</v>
      </c>
      <c r="Y53" s="14">
        <f t="shared" si="67"/>
        <v>1.7336666666666665</v>
      </c>
      <c r="Z53" s="49">
        <f t="shared" si="67"/>
        <v>1.1517490487695967E-2</v>
      </c>
      <c r="AA53" s="53">
        <f t="shared" si="67"/>
        <v>-10.333333333333334</v>
      </c>
      <c r="AB53" s="80" t="e">
        <f t="shared" si="67"/>
        <v>#DIV/0!</v>
      </c>
      <c r="AC53" s="30" t="e">
        <f t="shared" si="67"/>
        <v>#DIV/0!</v>
      </c>
      <c r="AD53" s="49">
        <f t="shared" si="67"/>
        <v>7.6573333333333329</v>
      </c>
      <c r="AE53" s="37">
        <f t="shared" si="67"/>
        <v>0.79662042092841967</v>
      </c>
      <c r="AG53" s="37">
        <f t="shared" si="67"/>
        <v>-2647</v>
      </c>
      <c r="AH53" s="37">
        <f t="shared" si="67"/>
        <v>0</v>
      </c>
      <c r="AI53" s="37">
        <f t="shared" si="67"/>
        <v>400</v>
      </c>
      <c r="AJ53" s="37" t="e">
        <f t="shared" si="67"/>
        <v>#DIV/0!</v>
      </c>
      <c r="AK53" s="37" t="e">
        <f t="shared" si="67"/>
        <v>#DIV/0!</v>
      </c>
      <c r="AL53" s="37">
        <f t="shared" si="67"/>
        <v>0</v>
      </c>
      <c r="AM53" s="37">
        <f t="shared" si="67"/>
        <v>0</v>
      </c>
      <c r="AN53" s="37">
        <f t="shared" si="67"/>
        <v>0</v>
      </c>
      <c r="AO53" s="37">
        <f t="shared" si="67"/>
        <v>0</v>
      </c>
      <c r="AP53" s="37">
        <f t="shared" si="67"/>
        <v>0</v>
      </c>
    </row>
    <row r="54" spans="2:42" s="1" customFormat="1" x14ac:dyDescent="0.3">
      <c r="B54" s="1" t="s">
        <v>82</v>
      </c>
      <c r="C54" s="1">
        <v>1337</v>
      </c>
      <c r="D54" s="1">
        <v>31</v>
      </c>
      <c r="E54" s="1">
        <v>1000</v>
      </c>
      <c r="F54" s="1">
        <v>82.92</v>
      </c>
      <c r="G54" s="1">
        <v>0.34528368166019702</v>
      </c>
      <c r="H54" s="1">
        <v>34.4</v>
      </c>
      <c r="I54" s="9">
        <f t="shared" ref="I54:I59" si="68">(H54*1000-400*(1000-E54))/E54</f>
        <v>34.4</v>
      </c>
      <c r="J54" s="9">
        <f>I54/D54</f>
        <v>1.1096774193548387</v>
      </c>
      <c r="K54" s="1">
        <v>9.5347213336788597E-2</v>
      </c>
      <c r="L54" s="1">
        <v>3.4089999999999998</v>
      </c>
      <c r="M54" s="1">
        <v>4.3308135431978499E-2</v>
      </c>
      <c r="N54" s="3" t="s">
        <v>16</v>
      </c>
      <c r="O54" s="57" t="s">
        <v>16</v>
      </c>
      <c r="P54" s="1">
        <v>1000</v>
      </c>
      <c r="Q54" s="1">
        <v>76.417000000000002</v>
      </c>
      <c r="R54" s="1">
        <v>0.39196523793283899</v>
      </c>
      <c r="S54" s="1">
        <v>37.255000000000003</v>
      </c>
      <c r="T54" s="9">
        <f t="shared" ref="T54:T59" si="69">(S54*1000-200*(1000-P54))/P54</f>
        <v>37.255000000000003</v>
      </c>
      <c r="U54" s="9">
        <f t="shared" ref="U54:U59" si="70">T54/D54</f>
        <v>1.2017741935483872</v>
      </c>
      <c r="V54" s="1">
        <v>0.222673659328081</v>
      </c>
      <c r="W54" s="1">
        <v>2.766</v>
      </c>
      <c r="X54" s="1">
        <v>4.3579159504780897E-2</v>
      </c>
      <c r="AA54" s="58">
        <f>P54-E54</f>
        <v>0</v>
      </c>
      <c r="AB54" s="21">
        <f>L54-W54</f>
        <v>0.64299999999999979</v>
      </c>
      <c r="AC54" s="28">
        <f>AB54/L54</f>
        <v>0.18861836315635078</v>
      </c>
      <c r="AD54" s="3" t="s">
        <v>16</v>
      </c>
      <c r="AE54" s="57" t="s">
        <v>16</v>
      </c>
      <c r="AF54" s="1">
        <v>105</v>
      </c>
      <c r="AG54" s="1">
        <v>-3058.04</v>
      </c>
      <c r="AH54" s="1">
        <v>34.548747884407902</v>
      </c>
      <c r="AI54" s="1">
        <v>365.726</v>
      </c>
      <c r="AJ54" s="9">
        <f t="shared" ref="AJ54:AJ59" si="71">(AI54*1000-400*(1000-AF54))/AF54</f>
        <v>73.580952380952382</v>
      </c>
      <c r="AK54" s="9">
        <f t="shared" ref="AK54:AK59" si="72">AJ54/D54</f>
        <v>2.3735791090629799</v>
      </c>
      <c r="AL54" s="1">
        <v>3.2120233526576301</v>
      </c>
      <c r="AM54" s="1">
        <v>2.9390000000000001</v>
      </c>
      <c r="AN54" s="1">
        <v>7.11501324056487E-2</v>
      </c>
    </row>
    <row r="55" spans="2:42" s="1" customFormat="1" x14ac:dyDescent="0.3">
      <c r="B55" s="1" t="s">
        <v>20</v>
      </c>
      <c r="C55" s="1">
        <v>2337</v>
      </c>
      <c r="D55" s="1">
        <v>33</v>
      </c>
      <c r="E55" s="1">
        <v>1000</v>
      </c>
      <c r="F55" s="1">
        <v>75.962999999999994</v>
      </c>
      <c r="G55" s="1">
        <v>0.29639413030706302</v>
      </c>
      <c r="H55" s="1">
        <v>36.917000000000002</v>
      </c>
      <c r="I55" s="12">
        <f t="shared" si="68"/>
        <v>36.917000000000002</v>
      </c>
      <c r="J55" s="9">
        <f t="shared" ref="J55:J59" si="73">I55/D55</f>
        <v>1.1186969696969697</v>
      </c>
      <c r="K55" s="1">
        <v>0.110798860045522</v>
      </c>
      <c r="L55" s="1">
        <v>2.363</v>
      </c>
      <c r="M55" s="1">
        <v>3.9734239766350203E-2</v>
      </c>
      <c r="N55" s="3" t="s">
        <v>16</v>
      </c>
      <c r="O55" s="57" t="s">
        <v>16</v>
      </c>
      <c r="P55" s="1">
        <v>1000</v>
      </c>
      <c r="Q55" s="1">
        <v>74.113</v>
      </c>
      <c r="R55" s="1">
        <v>0.27340625812512398</v>
      </c>
      <c r="S55" s="1">
        <v>35.161000000000001</v>
      </c>
      <c r="T55" s="12">
        <f t="shared" si="69"/>
        <v>35.161000000000001</v>
      </c>
      <c r="U55" s="9">
        <f t="shared" si="70"/>
        <v>1.0654848484848485</v>
      </c>
      <c r="V55" s="1">
        <v>6.7776638103941605E-2</v>
      </c>
      <c r="W55" s="1">
        <v>1.8080000000000001</v>
      </c>
      <c r="X55" s="1">
        <v>3.7047381938653999E-2</v>
      </c>
      <c r="AA55" s="58">
        <f>P55-E55</f>
        <v>0</v>
      </c>
      <c r="AB55" s="21">
        <f>L55-W55</f>
        <v>0.55499999999999994</v>
      </c>
      <c r="AC55" s="28">
        <f>AB55/L55</f>
        <v>0.23487092678798135</v>
      </c>
      <c r="AD55" s="3" t="s">
        <v>16</v>
      </c>
      <c r="AE55" s="57" t="s">
        <v>16</v>
      </c>
      <c r="AF55" s="1">
        <v>61</v>
      </c>
      <c r="AG55" s="1">
        <v>-2719.1559999999999</v>
      </c>
      <c r="AH55" s="1">
        <v>23.6289023589901</v>
      </c>
      <c r="AI55" s="1">
        <v>383.91899999999998</v>
      </c>
      <c r="AJ55" s="12">
        <f t="shared" si="71"/>
        <v>136.37704918032787</v>
      </c>
      <c r="AK55" s="9">
        <f t="shared" si="72"/>
        <v>4.1326378539493298</v>
      </c>
      <c r="AL55" s="1">
        <v>2.0823517060351802</v>
      </c>
      <c r="AM55" s="1">
        <v>3.411</v>
      </c>
      <c r="AN55" s="1">
        <v>6.4328976497510099E-2</v>
      </c>
    </row>
    <row r="56" spans="2:42" s="1" customFormat="1" x14ac:dyDescent="0.3">
      <c r="B56" s="1" t="s">
        <v>26</v>
      </c>
      <c r="C56" s="1">
        <v>3337</v>
      </c>
      <c r="D56" s="1">
        <v>38</v>
      </c>
      <c r="E56" s="1">
        <v>999</v>
      </c>
      <c r="F56" s="1">
        <v>68.331999999999994</v>
      </c>
      <c r="G56" s="1">
        <v>2.952006117222</v>
      </c>
      <c r="H56" s="1">
        <v>43.564999999999998</v>
      </c>
      <c r="I56" s="12">
        <f t="shared" si="68"/>
        <v>43.208208208208205</v>
      </c>
      <c r="J56" s="9">
        <f t="shared" si="73"/>
        <v>1.1370581107423212</v>
      </c>
      <c r="K56" s="1">
        <v>0.380942110945865</v>
      </c>
      <c r="L56" s="1">
        <v>2.8210000000000002</v>
      </c>
      <c r="M56" s="1">
        <v>4.8962805846441797E-2</v>
      </c>
      <c r="N56" s="3" t="s">
        <v>16</v>
      </c>
      <c r="O56" s="57" t="s">
        <v>16</v>
      </c>
      <c r="P56" s="1">
        <v>1000</v>
      </c>
      <c r="Q56" s="1">
        <v>71.691999999999993</v>
      </c>
      <c r="R56" s="1">
        <v>0.33106909058796502</v>
      </c>
      <c r="S56" s="1">
        <v>40.287999999999997</v>
      </c>
      <c r="T56" s="12">
        <f t="shared" si="69"/>
        <v>40.287999999999997</v>
      </c>
      <c r="U56" s="9">
        <f t="shared" si="70"/>
        <v>1.0602105263157895</v>
      </c>
      <c r="V56" s="1">
        <v>6.7376521100421805E-2</v>
      </c>
      <c r="W56" s="1">
        <v>2.3279999999999998</v>
      </c>
      <c r="X56" s="1">
        <v>4.5480594592468601E-2</v>
      </c>
      <c r="AA56" s="58">
        <f>P56-E56</f>
        <v>1</v>
      </c>
      <c r="AB56" s="21">
        <f>L56-W56</f>
        <v>0.49300000000000033</v>
      </c>
      <c r="AC56" s="28">
        <f>AB56/L56</f>
        <v>0.17476072314782004</v>
      </c>
      <c r="AD56" s="3" t="s">
        <v>16</v>
      </c>
      <c r="AE56" s="57" t="s">
        <v>16</v>
      </c>
      <c r="AF56" s="1">
        <v>261</v>
      </c>
      <c r="AG56" s="1">
        <v>-1878.82</v>
      </c>
      <c r="AH56" s="1">
        <v>39.980723678616201</v>
      </c>
      <c r="AI56" s="1">
        <v>326.42500000000001</v>
      </c>
      <c r="AJ56" s="12">
        <f t="shared" si="71"/>
        <v>118.10344827586206</v>
      </c>
      <c r="AK56" s="9">
        <f t="shared" si="72"/>
        <v>3.1079854809437384</v>
      </c>
      <c r="AL56" s="1">
        <v>4.0879554492135401</v>
      </c>
      <c r="AM56" s="1">
        <v>2.8969999999999998</v>
      </c>
      <c r="AN56" s="1">
        <v>7.2675117286954999E-2</v>
      </c>
    </row>
    <row r="57" spans="2:42" s="2" customFormat="1" x14ac:dyDescent="0.3">
      <c r="C57" s="2">
        <v>4337</v>
      </c>
      <c r="D57" s="2">
        <v>48</v>
      </c>
      <c r="I57" s="9" t="e">
        <f t="shared" si="68"/>
        <v>#DIV/0!</v>
      </c>
      <c r="J57" s="9" t="e">
        <f t="shared" si="73"/>
        <v>#DIV/0!</v>
      </c>
      <c r="N57" s="4" t="s">
        <v>16</v>
      </c>
      <c r="O57" s="55" t="s">
        <v>16</v>
      </c>
      <c r="T57" s="9" t="e">
        <f t="shared" si="69"/>
        <v>#DIV/0!</v>
      </c>
      <c r="U57" s="9" t="e">
        <f t="shared" si="70"/>
        <v>#DIV/0!</v>
      </c>
      <c r="AA57" s="56">
        <f>P57-E57</f>
        <v>0</v>
      </c>
      <c r="AB57" s="22">
        <f>L57-W57</f>
        <v>0</v>
      </c>
      <c r="AC57" s="29" t="e">
        <f>AB57/L57</f>
        <v>#DIV/0!</v>
      </c>
      <c r="AD57" s="4" t="s">
        <v>16</v>
      </c>
      <c r="AE57" s="55" t="s">
        <v>16</v>
      </c>
      <c r="AJ57" s="9" t="e">
        <f t="shared" si="71"/>
        <v>#DIV/0!</v>
      </c>
      <c r="AK57" s="9" t="e">
        <f t="shared" si="72"/>
        <v>#DIV/0!</v>
      </c>
    </row>
    <row r="58" spans="2:42" s="2" customFormat="1" x14ac:dyDescent="0.3">
      <c r="C58" s="2">
        <v>5337</v>
      </c>
      <c r="D58" s="2">
        <v>60</v>
      </c>
      <c r="I58" s="9" t="e">
        <f t="shared" si="68"/>
        <v>#DIV/0!</v>
      </c>
      <c r="J58" s="9" t="e">
        <f t="shared" si="73"/>
        <v>#DIV/0!</v>
      </c>
      <c r="N58" s="4" t="s">
        <v>16</v>
      </c>
      <c r="O58" s="55" t="s">
        <v>16</v>
      </c>
      <c r="T58" s="9" t="e">
        <f t="shared" si="69"/>
        <v>#DIV/0!</v>
      </c>
      <c r="U58" s="9" t="e">
        <f t="shared" si="70"/>
        <v>#DIV/0!</v>
      </c>
      <c r="AA58" s="56">
        <f>P58-E58</f>
        <v>0</v>
      </c>
      <c r="AB58" s="22">
        <f>L58-W58</f>
        <v>0</v>
      </c>
      <c r="AC58" s="29" t="e">
        <f>AB58/L58</f>
        <v>#DIV/0!</v>
      </c>
      <c r="AD58" s="4" t="s">
        <v>16</v>
      </c>
      <c r="AE58" s="55" t="s">
        <v>16</v>
      </c>
      <c r="AJ58" s="9" t="e">
        <f t="shared" si="71"/>
        <v>#DIV/0!</v>
      </c>
      <c r="AK58" s="9" t="e">
        <f t="shared" si="72"/>
        <v>#DIV/0!</v>
      </c>
    </row>
    <row r="59" spans="2:42" s="2" customFormat="1" x14ac:dyDescent="0.3">
      <c r="C59" s="2">
        <v>6337</v>
      </c>
      <c r="D59" s="2">
        <v>35</v>
      </c>
      <c r="I59" s="9" t="e">
        <f t="shared" si="68"/>
        <v>#DIV/0!</v>
      </c>
      <c r="J59" s="9" t="e">
        <f t="shared" si="73"/>
        <v>#DIV/0!</v>
      </c>
      <c r="N59" s="4" t="s">
        <v>16</v>
      </c>
      <c r="O59" s="55" t="s">
        <v>16</v>
      </c>
      <c r="T59" s="9" t="e">
        <f t="shared" si="69"/>
        <v>#DIV/0!</v>
      </c>
      <c r="U59" s="9" t="e">
        <f t="shared" si="70"/>
        <v>#DIV/0!</v>
      </c>
      <c r="AA59" s="56">
        <f>P59-E59</f>
        <v>0</v>
      </c>
      <c r="AB59" s="22">
        <f>L59-W59</f>
        <v>0</v>
      </c>
      <c r="AC59" s="29" t="e">
        <f>AB59/L59</f>
        <v>#DIV/0!</v>
      </c>
      <c r="AD59" s="4" t="s">
        <v>16</v>
      </c>
      <c r="AE59" s="55" t="s">
        <v>16</v>
      </c>
      <c r="AJ59" s="9" t="e">
        <f t="shared" si="71"/>
        <v>#DIV/0!</v>
      </c>
      <c r="AK59" s="9" t="e">
        <f t="shared" si="72"/>
        <v>#DIV/0!</v>
      </c>
    </row>
    <row r="60" spans="2:42" x14ac:dyDescent="0.3">
      <c r="C60" t="s">
        <v>11</v>
      </c>
      <c r="D60" s="14"/>
      <c r="E60" s="14">
        <f>AVERAGE(E54:E59)</f>
        <v>999.66666666666663</v>
      </c>
      <c r="F60" s="14">
        <f>AVERAGE(F54:F59)</f>
        <v>75.73833333333333</v>
      </c>
      <c r="G60" s="14">
        <f>AVERAGE(G54:G59)</f>
        <v>1.1978946430630868</v>
      </c>
      <c r="H60" s="14">
        <f>AVERAGE(H54:H59)</f>
        <v>38.294000000000004</v>
      </c>
      <c r="I60" s="14"/>
      <c r="J60" s="14"/>
      <c r="K60" s="14">
        <f>AVERAGE(K54:K59)</f>
        <v>0.19569606144272522</v>
      </c>
      <c r="L60" s="14">
        <f>AVERAGE(L54:L59)</f>
        <v>2.8643333333333332</v>
      </c>
      <c r="M60" s="14">
        <f>AVERAGE(M54:M59)</f>
        <v>4.4001727014923497E-2</v>
      </c>
      <c r="N60" s="5" t="s">
        <v>16</v>
      </c>
      <c r="O60" s="46" t="s">
        <v>16</v>
      </c>
      <c r="P60" s="14">
        <f>AVERAGE(P54:P59)</f>
        <v>1000</v>
      </c>
      <c r="Q60" s="14">
        <f>AVERAGE(Q54:Q59)</f>
        <v>74.073999999999998</v>
      </c>
      <c r="R60" s="14">
        <f>AVERAGE(R54:R59)</f>
        <v>0.33214686221530937</v>
      </c>
      <c r="S60" s="14">
        <f>AVERAGE(S54:S59)</f>
        <v>37.567999999999998</v>
      </c>
      <c r="T60" s="14"/>
      <c r="U60" s="14"/>
      <c r="V60" s="14">
        <f>AVERAGE(V54:V59)</f>
        <v>0.11927560617748147</v>
      </c>
      <c r="W60" s="14">
        <f>AVERAGE(W54:W59)</f>
        <v>2.3006666666666664</v>
      </c>
      <c r="X60" s="14">
        <f>AVERAGE(X54:X59)</f>
        <v>4.2035712011967839E-2</v>
      </c>
      <c r="Y60" s="14" t="e">
        <f>AVERAGE(Y54:Y59)</f>
        <v>#DIV/0!</v>
      </c>
      <c r="Z60" s="5" t="s">
        <v>16</v>
      </c>
      <c r="AA60" s="54">
        <f>P60-E60</f>
        <v>0.33333333333337123</v>
      </c>
      <c r="AB60" s="23">
        <f>L60-W60</f>
        <v>0.56366666666666676</v>
      </c>
      <c r="AC60" s="30">
        <f>AB60/L60</f>
        <v>0.19678808332363557</v>
      </c>
      <c r="AD60" s="5" t="s">
        <v>16</v>
      </c>
      <c r="AE60" s="46" t="s">
        <v>16</v>
      </c>
      <c r="AJ60" s="14"/>
      <c r="AK60" s="14"/>
    </row>
    <row r="61" spans="2:42" x14ac:dyDescent="0.3">
      <c r="E61">
        <f t="shared" ref="E61:AE61" si="74">AVERAGE(E54:E56)</f>
        <v>999.66666666666663</v>
      </c>
      <c r="F61">
        <f t="shared" si="74"/>
        <v>75.73833333333333</v>
      </c>
      <c r="G61">
        <f t="shared" si="74"/>
        <v>1.1978946430630868</v>
      </c>
      <c r="H61">
        <f t="shared" si="74"/>
        <v>38.294000000000004</v>
      </c>
      <c r="J61">
        <f t="shared" si="74"/>
        <v>1.1218108332647099</v>
      </c>
      <c r="K61">
        <f t="shared" si="74"/>
        <v>0.19569606144272522</v>
      </c>
      <c r="L61">
        <f t="shared" si="74"/>
        <v>2.8643333333333332</v>
      </c>
      <c r="M61">
        <f t="shared" si="74"/>
        <v>4.4001727014923497E-2</v>
      </c>
      <c r="N61" t="e">
        <f t="shared" si="74"/>
        <v>#DIV/0!</v>
      </c>
      <c r="O61" t="e">
        <f t="shared" si="74"/>
        <v>#DIV/0!</v>
      </c>
      <c r="P61">
        <f t="shared" si="74"/>
        <v>1000</v>
      </c>
      <c r="Q61">
        <f t="shared" si="74"/>
        <v>74.073999999999998</v>
      </c>
      <c r="R61">
        <f t="shared" si="74"/>
        <v>0.33214686221530937</v>
      </c>
      <c r="S61">
        <f t="shared" si="74"/>
        <v>37.567999999999998</v>
      </c>
      <c r="U61">
        <f t="shared" si="74"/>
        <v>1.1091565227830085</v>
      </c>
      <c r="V61">
        <f t="shared" si="74"/>
        <v>0.11927560617748147</v>
      </c>
      <c r="W61">
        <f t="shared" si="74"/>
        <v>2.3006666666666664</v>
      </c>
      <c r="X61">
        <f t="shared" si="74"/>
        <v>4.2035712011967839E-2</v>
      </c>
      <c r="Y61" t="e">
        <f t="shared" si="74"/>
        <v>#DIV/0!</v>
      </c>
      <c r="Z61" t="e">
        <f t="shared" si="74"/>
        <v>#DIV/0!</v>
      </c>
      <c r="AA61">
        <f t="shared" si="74"/>
        <v>0.33333333333333331</v>
      </c>
      <c r="AB61">
        <f t="shared" si="74"/>
        <v>0.56366666666666665</v>
      </c>
      <c r="AC61">
        <f t="shared" si="74"/>
        <v>0.19941667103071739</v>
      </c>
      <c r="AD61" t="e">
        <f t="shared" si="74"/>
        <v>#DIV/0!</v>
      </c>
      <c r="AE61" t="e">
        <f t="shared" si="74"/>
        <v>#DIV/0!</v>
      </c>
      <c r="AF61">
        <f t="shared" ref="AF61:AN61" si="75">AVERAGE(AF54:AF56)</f>
        <v>142.33333333333334</v>
      </c>
      <c r="AG61">
        <f t="shared" si="75"/>
        <v>-2552.0053333333331</v>
      </c>
      <c r="AH61">
        <f t="shared" si="75"/>
        <v>32.719457974004733</v>
      </c>
      <c r="AI61">
        <f t="shared" si="75"/>
        <v>358.69</v>
      </c>
      <c r="AK61">
        <f t="shared" ref="AK61" si="76">AVERAGE(AK54:AK56)</f>
        <v>3.2047341479853499</v>
      </c>
      <c r="AL61">
        <f t="shared" si="75"/>
        <v>3.1274435026354497</v>
      </c>
      <c r="AM61">
        <f t="shared" si="75"/>
        <v>3.0823333333333331</v>
      </c>
      <c r="AN61">
        <f t="shared" si="75"/>
        <v>6.9384742063371266E-2</v>
      </c>
    </row>
  </sheetData>
  <mergeCells count="3">
    <mergeCell ref="AB2:AE2"/>
    <mergeCell ref="E2:O2"/>
    <mergeCell ref="P2:Z2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2C009-FEB2-4418-90EE-16450BB02EB8}">
  <dimension ref="A1:L197"/>
  <sheetViews>
    <sheetView topLeftCell="A83" zoomScale="75" zoomScaleNormal="75" workbookViewId="0">
      <selection activeCell="I47" sqref="I47"/>
    </sheetView>
  </sheetViews>
  <sheetFormatPr baseColWidth="10" defaultRowHeight="14.4" x14ac:dyDescent="0.3"/>
  <cols>
    <col min="1" max="1" width="17.33203125" customWidth="1"/>
    <col min="2" max="2" width="21.109375" customWidth="1"/>
    <col min="12" max="12" width="14.77734375" bestFit="1" customWidth="1"/>
  </cols>
  <sheetData>
    <row r="1" spans="1:12" x14ac:dyDescent="0.3">
      <c r="A1" t="s">
        <v>24</v>
      </c>
    </row>
    <row r="3" spans="1:12" x14ac:dyDescent="0.3">
      <c r="D3" s="44" t="s">
        <v>9</v>
      </c>
      <c r="E3" s="44"/>
      <c r="F3" s="44"/>
      <c r="G3" s="44" t="s">
        <v>10</v>
      </c>
      <c r="H3" s="44"/>
      <c r="I3" s="44"/>
      <c r="J3" s="44" t="s">
        <v>29</v>
      </c>
      <c r="K3" s="45"/>
    </row>
    <row r="4" spans="1:12" x14ac:dyDescent="0.3">
      <c r="C4" t="s">
        <v>4</v>
      </c>
      <c r="D4" t="s">
        <v>5</v>
      </c>
      <c r="E4" t="s">
        <v>6</v>
      </c>
      <c r="F4" t="s">
        <v>27</v>
      </c>
      <c r="G4" t="s">
        <v>5</v>
      </c>
      <c r="H4" t="s">
        <v>6</v>
      </c>
      <c r="I4" t="s">
        <v>27</v>
      </c>
      <c r="J4" t="s">
        <v>5</v>
      </c>
      <c r="K4" t="s">
        <v>27</v>
      </c>
    </row>
    <row r="5" spans="1:12" s="60" customFormat="1" ht="43.2" x14ac:dyDescent="0.3">
      <c r="A5" s="60" t="s">
        <v>28</v>
      </c>
      <c r="B5" s="66" t="s">
        <v>30</v>
      </c>
      <c r="C5" s="60">
        <v>1337</v>
      </c>
      <c r="D5" s="65">
        <v>-438.12400000000002</v>
      </c>
      <c r="E5" s="65">
        <v>2.91002385950061</v>
      </c>
      <c r="F5" s="67">
        <f>994/1000</f>
        <v>0.99399999999999999</v>
      </c>
      <c r="G5" s="65">
        <v>-564.06299999999999</v>
      </c>
      <c r="H5" s="65">
        <v>4.19823918366298</v>
      </c>
      <c r="I5" s="67">
        <f>330/1000</f>
        <v>0.33</v>
      </c>
      <c r="J5" s="68">
        <f t="shared" ref="J5" si="0">(D5-G5)/D5</f>
        <v>-0.28745058476595658</v>
      </c>
      <c r="K5" s="69">
        <f>I5-F5</f>
        <v>-0.66399999999999992</v>
      </c>
      <c r="L5" s="60" t="s">
        <v>31</v>
      </c>
    </row>
    <row r="6" spans="1:12" s="60" customFormat="1" x14ac:dyDescent="0.3">
      <c r="B6" s="66"/>
      <c r="C6" s="60">
        <v>1337</v>
      </c>
      <c r="D6" s="65">
        <v>-901.274</v>
      </c>
      <c r="E6" s="65">
        <v>4.93883275612699</v>
      </c>
      <c r="F6" s="67">
        <f>999/1000</f>
        <v>0.999</v>
      </c>
      <c r="G6" s="65">
        <v>-3222.6619999999998</v>
      </c>
      <c r="H6" s="65">
        <v>2.3140796703486002</v>
      </c>
      <c r="I6" s="67">
        <f>16/1000</f>
        <v>1.6E-2</v>
      </c>
      <c r="J6" s="68">
        <f>(D6-G6)/D6</f>
        <v>-2.5756739903736268</v>
      </c>
      <c r="K6" s="69">
        <f>I6-F6</f>
        <v>-0.98299999999999998</v>
      </c>
      <c r="L6" s="60" t="s">
        <v>36</v>
      </c>
    </row>
    <row r="7" spans="1:12" s="60" customFormat="1" x14ac:dyDescent="0.3">
      <c r="B7" s="66"/>
    </row>
    <row r="8" spans="1:12" s="60" customFormat="1" x14ac:dyDescent="0.3">
      <c r="B8" s="66"/>
      <c r="D8" s="65"/>
      <c r="E8" s="65"/>
      <c r="F8" s="67"/>
      <c r="G8" s="65"/>
      <c r="H8" s="65"/>
      <c r="I8" s="67"/>
      <c r="J8" s="68"/>
      <c r="K8" s="69"/>
    </row>
    <row r="9" spans="1:12" s="60" customFormat="1" x14ac:dyDescent="0.3">
      <c r="B9" s="66"/>
      <c r="C9" s="60">
        <v>1337</v>
      </c>
      <c r="D9" s="65">
        <v>-880.00199999999995</v>
      </c>
      <c r="E9" s="65">
        <v>5.1052611772256702</v>
      </c>
      <c r="F9" s="67">
        <f>996/1000</f>
        <v>0.996</v>
      </c>
      <c r="G9" s="65">
        <v>-1072.279</v>
      </c>
      <c r="H9" s="65">
        <v>6.1426068389388</v>
      </c>
      <c r="I9" s="67">
        <f>10/1000</f>
        <v>0.01</v>
      </c>
      <c r="J9" s="68">
        <f t="shared" ref="J9:J137" si="1">(D9-G9)/D9</f>
        <v>-0.21849609432705841</v>
      </c>
      <c r="K9" s="69">
        <f t="shared" ref="K9:K137" si="2">I9-F9</f>
        <v>-0.98599999999999999</v>
      </c>
      <c r="L9" s="60" t="s">
        <v>38</v>
      </c>
    </row>
    <row r="10" spans="1:12" s="60" customFormat="1" x14ac:dyDescent="0.3">
      <c r="B10" s="60" t="s">
        <v>32</v>
      </c>
      <c r="C10" s="60">
        <v>2337</v>
      </c>
      <c r="D10" s="65">
        <v>-883.94799999999998</v>
      </c>
      <c r="E10" s="65">
        <v>5.0061541001925596</v>
      </c>
      <c r="F10" s="67">
        <f>997/1000</f>
        <v>0.997</v>
      </c>
      <c r="G10" s="65">
        <v>-1079.529</v>
      </c>
      <c r="H10" s="65">
        <v>6.3023092800386404</v>
      </c>
      <c r="I10" s="67">
        <f>8/1000</f>
        <v>8.0000000000000002E-3</v>
      </c>
      <c r="J10" s="68">
        <f t="shared" si="1"/>
        <v>-0.22125849031843506</v>
      </c>
      <c r="K10" s="69">
        <f t="shared" si="2"/>
        <v>-0.98899999999999999</v>
      </c>
    </row>
    <row r="11" spans="1:12" s="60" customFormat="1" x14ac:dyDescent="0.3">
      <c r="B11" s="60" t="s">
        <v>33</v>
      </c>
      <c r="C11" s="60">
        <v>3337</v>
      </c>
      <c r="D11" s="65">
        <v>-886.21600000000001</v>
      </c>
      <c r="E11" s="65">
        <v>5.2289916520967603</v>
      </c>
      <c r="F11" s="67">
        <f>996/1000</f>
        <v>0.996</v>
      </c>
      <c r="G11" s="65">
        <v>-1064.605</v>
      </c>
      <c r="H11" s="65">
        <v>6.5280697506743603</v>
      </c>
      <c r="I11" s="67">
        <f>10/1000</f>
        <v>0.01</v>
      </c>
      <c r="J11" s="68">
        <f t="shared" si="1"/>
        <v>-0.2012929127887558</v>
      </c>
      <c r="K11" s="69">
        <f t="shared" si="2"/>
        <v>-0.98599999999999999</v>
      </c>
    </row>
    <row r="12" spans="1:12" s="60" customFormat="1" x14ac:dyDescent="0.3">
      <c r="C12" s="60">
        <v>4337</v>
      </c>
      <c r="D12" s="65">
        <v>-881.88199999999995</v>
      </c>
      <c r="E12" s="65">
        <v>5.2545769244207099</v>
      </c>
      <c r="F12" s="67">
        <f>993/1000</f>
        <v>0.99299999999999999</v>
      </c>
      <c r="G12" s="65">
        <v>-1068.9190000000001</v>
      </c>
      <c r="H12" s="65">
        <v>6.3674584384953699</v>
      </c>
      <c r="I12" s="67">
        <f>11/1000</f>
        <v>1.0999999999999999E-2</v>
      </c>
      <c r="J12" s="68">
        <f t="shared" si="1"/>
        <v>-0.21208846535023979</v>
      </c>
      <c r="K12" s="69">
        <f t="shared" si="2"/>
        <v>-0.98199999999999998</v>
      </c>
    </row>
    <row r="13" spans="1:12" s="60" customFormat="1" x14ac:dyDescent="0.3">
      <c r="C13" s="60" t="s">
        <v>11</v>
      </c>
      <c r="D13" s="65">
        <f t="shared" ref="D13:I13" si="3">AVERAGE(D9:D12)</f>
        <v>-883.01199999999994</v>
      </c>
      <c r="E13" s="65">
        <f t="shared" si="3"/>
        <v>5.1487459634839254</v>
      </c>
      <c r="F13" s="67">
        <f t="shared" si="3"/>
        <v>0.99549999999999994</v>
      </c>
      <c r="G13" s="65">
        <f t="shared" si="3"/>
        <v>-1071.3330000000001</v>
      </c>
      <c r="H13" s="65">
        <f t="shared" si="3"/>
        <v>6.3351110770367924</v>
      </c>
      <c r="I13" s="67">
        <f t="shared" si="3"/>
        <v>9.7500000000000017E-3</v>
      </c>
      <c r="J13" s="68">
        <f t="shared" si="1"/>
        <v>-0.21327116732275456</v>
      </c>
      <c r="K13" s="69">
        <f t="shared" si="2"/>
        <v>-0.9857499999999999</v>
      </c>
    </row>
    <row r="14" spans="1:12" s="60" customFormat="1" x14ac:dyDescent="0.3">
      <c r="C14" s="60">
        <v>1337</v>
      </c>
      <c r="D14" s="65"/>
      <c r="E14" s="65"/>
      <c r="F14" s="67"/>
      <c r="G14" s="65">
        <v>-1075.125</v>
      </c>
      <c r="H14" s="65">
        <v>6.2890908753999604</v>
      </c>
      <c r="I14" s="67">
        <f>12/1000</f>
        <v>1.2E-2</v>
      </c>
      <c r="J14" s="68"/>
      <c r="K14" s="69"/>
      <c r="L14" s="60" t="s">
        <v>42</v>
      </c>
    </row>
    <row r="15" spans="1:12" s="60" customFormat="1" x14ac:dyDescent="0.3">
      <c r="C15" s="60">
        <v>2337</v>
      </c>
      <c r="D15" s="65"/>
      <c r="E15" s="65"/>
      <c r="F15" s="67"/>
      <c r="G15" s="65"/>
      <c r="H15" s="65"/>
      <c r="I15" s="67"/>
      <c r="J15" s="68"/>
      <c r="K15" s="69"/>
    </row>
    <row r="16" spans="1:12" s="60" customFormat="1" x14ac:dyDescent="0.3">
      <c r="C16" s="60">
        <v>3337</v>
      </c>
      <c r="D16" s="65"/>
      <c r="E16" s="65"/>
      <c r="F16" s="67"/>
      <c r="G16" s="65"/>
      <c r="H16" s="65"/>
      <c r="I16" s="67"/>
      <c r="J16" s="68"/>
      <c r="K16" s="69"/>
    </row>
    <row r="17" spans="3:12" s="60" customFormat="1" x14ac:dyDescent="0.3">
      <c r="C17" s="60">
        <v>4337</v>
      </c>
      <c r="D17" s="65"/>
      <c r="E17" s="65"/>
      <c r="F17" s="67"/>
      <c r="G17" s="65"/>
      <c r="H17" s="65"/>
      <c r="I17" s="67"/>
      <c r="J17" s="68"/>
      <c r="K17" s="69"/>
    </row>
    <row r="18" spans="3:12" s="60" customFormat="1" x14ac:dyDescent="0.3">
      <c r="C18" s="60" t="s">
        <v>11</v>
      </c>
      <c r="D18" s="65"/>
      <c r="E18" s="65"/>
      <c r="F18" s="67"/>
      <c r="G18" s="65"/>
      <c r="H18" s="65"/>
      <c r="I18" s="67"/>
      <c r="J18" s="68"/>
      <c r="K18" s="69"/>
    </row>
    <row r="19" spans="3:12" s="60" customFormat="1" x14ac:dyDescent="0.3">
      <c r="C19" s="60">
        <v>1337</v>
      </c>
      <c r="D19" s="65">
        <v>-897.36500000000001</v>
      </c>
      <c r="E19" s="65">
        <v>5.0915187653919398</v>
      </c>
      <c r="F19" s="67">
        <f>999/1000</f>
        <v>0.999</v>
      </c>
      <c r="G19" s="65">
        <v>-1064.3140000000001</v>
      </c>
      <c r="H19" s="65">
        <v>6.2784176296206899</v>
      </c>
      <c r="I19" s="67">
        <f>12/1000</f>
        <v>1.2E-2</v>
      </c>
      <c r="J19" s="68">
        <f>(D19-G19)/D19</f>
        <v>-0.18604358315735522</v>
      </c>
      <c r="K19" s="69">
        <f>I19-F19</f>
        <v>-0.98699999999999999</v>
      </c>
      <c r="L19" s="60" t="s">
        <v>37</v>
      </c>
    </row>
    <row r="20" spans="3:12" s="60" customFormat="1" x14ac:dyDescent="0.3">
      <c r="C20" s="60">
        <v>2337</v>
      </c>
      <c r="D20" s="65">
        <v>-900.87800000000004</v>
      </c>
      <c r="E20" s="65">
        <v>5.0957030236568199</v>
      </c>
      <c r="F20" s="67">
        <f>1000/1000</f>
        <v>1</v>
      </c>
      <c r="G20" s="65">
        <v>-1072.5229999999999</v>
      </c>
      <c r="H20" s="65">
        <v>6.5781338779562901</v>
      </c>
      <c r="I20" s="67">
        <f>11/1000</f>
        <v>1.0999999999999999E-2</v>
      </c>
      <c r="J20" s="68"/>
      <c r="K20" s="69"/>
    </row>
    <row r="21" spans="3:12" s="60" customFormat="1" x14ac:dyDescent="0.3">
      <c r="C21" s="60">
        <v>3337</v>
      </c>
      <c r="D21" s="65">
        <v>-897.15499999999997</v>
      </c>
      <c r="E21" s="65">
        <v>5.1059766913855897</v>
      </c>
      <c r="F21" s="67">
        <f>999/1000</f>
        <v>0.999</v>
      </c>
      <c r="G21" s="65">
        <v>-1063.645</v>
      </c>
      <c r="H21" s="65">
        <v>6.3965957674697798</v>
      </c>
      <c r="I21" s="67">
        <f>15/1000</f>
        <v>1.4999999999999999E-2</v>
      </c>
      <c r="J21" s="68"/>
      <c r="K21" s="69"/>
    </row>
    <row r="22" spans="3:12" s="60" customFormat="1" x14ac:dyDescent="0.3">
      <c r="C22" s="60">
        <v>4337</v>
      </c>
      <c r="D22" s="65">
        <v>-902.35799999999995</v>
      </c>
      <c r="E22" s="65">
        <v>5.0766023803059097</v>
      </c>
      <c r="F22" s="67">
        <f>1000/1000</f>
        <v>1</v>
      </c>
      <c r="G22" s="65">
        <v>-1075.067</v>
      </c>
      <c r="H22" s="65">
        <v>6.2527956919257299</v>
      </c>
      <c r="I22" s="67">
        <f>12/1000</f>
        <v>1.2E-2</v>
      </c>
      <c r="J22" s="68"/>
      <c r="K22" s="69"/>
    </row>
    <row r="23" spans="3:12" s="60" customFormat="1" x14ac:dyDescent="0.3">
      <c r="C23" s="60" t="s">
        <v>11</v>
      </c>
      <c r="D23" s="65"/>
      <c r="E23" s="65"/>
      <c r="F23" s="67"/>
      <c r="G23" s="65"/>
      <c r="H23" s="65"/>
      <c r="I23" s="67"/>
      <c r="J23" s="68"/>
      <c r="K23" s="69"/>
    </row>
    <row r="24" spans="3:12" s="1" customFormat="1" x14ac:dyDescent="0.3">
      <c r="C24" s="1">
        <v>1337</v>
      </c>
      <c r="D24" s="9">
        <v>-1099.9760000000001</v>
      </c>
      <c r="E24" s="9">
        <v>7.56410014707863</v>
      </c>
      <c r="F24" s="64">
        <f>998/1000</f>
        <v>0.998</v>
      </c>
      <c r="G24" s="9">
        <v>-1059.6990000000001</v>
      </c>
      <c r="H24" s="9">
        <v>6.2078627529093202</v>
      </c>
      <c r="I24" s="64">
        <f>9/1000</f>
        <v>8.9999999999999993E-3</v>
      </c>
      <c r="J24" s="62">
        <f t="shared" ref="J24:J28" si="4">(D24-G24)/D24</f>
        <v>3.6616253445529753E-2</v>
      </c>
      <c r="K24" s="63">
        <f t="shared" ref="K24:K28" si="5">I24-F24</f>
        <v>-0.98899999999999999</v>
      </c>
      <c r="L24" s="1" t="s">
        <v>44</v>
      </c>
    </row>
    <row r="25" spans="3:12" s="1" customFormat="1" x14ac:dyDescent="0.3">
      <c r="C25" s="1">
        <v>2337</v>
      </c>
      <c r="D25" s="9">
        <v>-1033.1310000000001</v>
      </c>
      <c r="E25" s="9">
        <v>5.9372737058399103</v>
      </c>
      <c r="F25" s="64">
        <f>999/1000</f>
        <v>0.999</v>
      </c>
      <c r="G25" s="9">
        <v>-1061.279</v>
      </c>
      <c r="H25" s="9">
        <v>5.9882547001069799</v>
      </c>
      <c r="I25" s="64">
        <f>14/1000</f>
        <v>1.4E-2</v>
      </c>
      <c r="J25" s="62">
        <f t="shared" si="4"/>
        <v>-2.724533481233252E-2</v>
      </c>
      <c r="K25" s="63">
        <f t="shared" si="5"/>
        <v>-0.98499999999999999</v>
      </c>
    </row>
    <row r="26" spans="3:12" s="1" customFormat="1" x14ac:dyDescent="0.3">
      <c r="C26" s="1">
        <v>3337</v>
      </c>
      <c r="D26" s="9">
        <v>-1038.297</v>
      </c>
      <c r="E26" s="9">
        <v>6.0740341357026999</v>
      </c>
      <c r="F26" s="64">
        <f>999/1000</f>
        <v>0.999</v>
      </c>
      <c r="G26" s="9">
        <v>-1061.865</v>
      </c>
      <c r="H26" s="9">
        <v>6.3554224225592701</v>
      </c>
      <c r="I26" s="64">
        <f>8/1000</f>
        <v>8.0000000000000002E-3</v>
      </c>
      <c r="J26" s="62">
        <f t="shared" si="4"/>
        <v>-2.2698707595225628E-2</v>
      </c>
      <c r="K26" s="63">
        <f t="shared" si="5"/>
        <v>-0.99099999999999999</v>
      </c>
    </row>
    <row r="27" spans="3:12" s="1" customFormat="1" x14ac:dyDescent="0.3">
      <c r="C27" s="1">
        <v>4337</v>
      </c>
      <c r="D27" s="9">
        <v>-1112.0609999999999</v>
      </c>
      <c r="E27" s="9">
        <v>9.5900776257477602</v>
      </c>
      <c r="F27" s="64">
        <f>999/1000</f>
        <v>0.999</v>
      </c>
      <c r="G27" s="9">
        <v>-1050.989</v>
      </c>
      <c r="H27" s="9">
        <v>6.0388167870193898</v>
      </c>
      <c r="I27" s="64">
        <f>300/1000</f>
        <v>0.3</v>
      </c>
      <c r="J27" s="62">
        <f t="shared" si="4"/>
        <v>5.4917850729411327E-2</v>
      </c>
      <c r="K27" s="63">
        <f t="shared" si="5"/>
        <v>-0.69900000000000007</v>
      </c>
    </row>
    <row r="28" spans="3:12" s="60" customFormat="1" x14ac:dyDescent="0.3">
      <c r="C28" s="60" t="s">
        <v>11</v>
      </c>
      <c r="D28" s="65">
        <f t="shared" ref="D28:G28" si="6">AVERAGE(D24:D27)</f>
        <v>-1070.86625</v>
      </c>
      <c r="E28" s="65">
        <f t="shared" si="6"/>
        <v>7.2913714035922501</v>
      </c>
      <c r="F28" s="67">
        <f t="shared" si="6"/>
        <v>0.99875000000000003</v>
      </c>
      <c r="G28" s="65">
        <f t="shared" si="6"/>
        <v>-1058.4580000000001</v>
      </c>
      <c r="H28" s="65">
        <f t="shared" ref="H28:I28" si="7">AVERAGE(H24:H27)</f>
        <v>6.14758916564874</v>
      </c>
      <c r="I28" s="67">
        <f t="shared" si="7"/>
        <v>8.274999999999999E-2</v>
      </c>
      <c r="J28" s="68">
        <f t="shared" si="4"/>
        <v>1.1587114637332115E-2</v>
      </c>
      <c r="K28" s="69">
        <f t="shared" si="5"/>
        <v>-0.91600000000000004</v>
      </c>
    </row>
    <row r="29" spans="3:12" s="1" customFormat="1" x14ac:dyDescent="0.3">
      <c r="C29" s="1">
        <v>1337</v>
      </c>
      <c r="D29" s="3" t="s">
        <v>16</v>
      </c>
      <c r="E29" s="3" t="s">
        <v>16</v>
      </c>
      <c r="F29" s="70" t="s">
        <v>16</v>
      </c>
      <c r="G29" s="9">
        <v>-1107.6980000000001</v>
      </c>
      <c r="H29" s="9">
        <v>8.4691087251610195</v>
      </c>
      <c r="I29" s="64">
        <f>999/1000</f>
        <v>0.999</v>
      </c>
      <c r="J29" s="62" t="s">
        <v>16</v>
      </c>
      <c r="K29" s="63" t="s">
        <v>16</v>
      </c>
      <c r="L29" s="1" t="s">
        <v>43</v>
      </c>
    </row>
    <row r="30" spans="3:12" s="1" customFormat="1" x14ac:dyDescent="0.3">
      <c r="C30" s="1">
        <v>2337</v>
      </c>
      <c r="D30" s="3" t="s">
        <v>16</v>
      </c>
      <c r="E30" s="3" t="s">
        <v>16</v>
      </c>
      <c r="F30" s="70" t="s">
        <v>16</v>
      </c>
      <c r="G30" s="9">
        <v>-991.26800000000003</v>
      </c>
      <c r="H30" s="9">
        <v>5.2445794673919996</v>
      </c>
      <c r="I30" s="64">
        <f>999/1000</f>
        <v>0.999</v>
      </c>
      <c r="J30" s="62" t="s">
        <v>16</v>
      </c>
      <c r="K30" s="63" t="s">
        <v>16</v>
      </c>
    </row>
    <row r="31" spans="3:12" s="1" customFormat="1" x14ac:dyDescent="0.3">
      <c r="C31" s="1">
        <v>3337</v>
      </c>
      <c r="D31" s="3" t="s">
        <v>16</v>
      </c>
      <c r="E31" s="3" t="s">
        <v>16</v>
      </c>
      <c r="F31" s="70" t="s">
        <v>16</v>
      </c>
      <c r="G31" s="9">
        <v>-984.726</v>
      </c>
      <c r="H31" s="9">
        <v>5.1800209981757304</v>
      </c>
      <c r="I31" s="64">
        <f>999/1000</f>
        <v>0.999</v>
      </c>
      <c r="J31" s="62" t="s">
        <v>16</v>
      </c>
      <c r="K31" s="63" t="s">
        <v>16</v>
      </c>
    </row>
    <row r="32" spans="3:12" s="1" customFormat="1" x14ac:dyDescent="0.3">
      <c r="C32" s="1">
        <v>4337</v>
      </c>
      <c r="D32" s="3" t="s">
        <v>16</v>
      </c>
      <c r="E32" s="3" t="s">
        <v>16</v>
      </c>
      <c r="F32" s="70" t="s">
        <v>16</v>
      </c>
      <c r="G32" s="9">
        <v>-1117.5709999999999</v>
      </c>
      <c r="H32" s="9">
        <v>10.0527964106846</v>
      </c>
      <c r="I32" s="64">
        <f>1000/1000</f>
        <v>1</v>
      </c>
      <c r="J32" s="62" t="s">
        <v>16</v>
      </c>
      <c r="K32" s="63" t="s">
        <v>16</v>
      </c>
    </row>
    <row r="33" spans="3:12" s="60" customFormat="1" x14ac:dyDescent="0.3">
      <c r="C33" s="60" t="s">
        <v>11</v>
      </c>
      <c r="D33" s="61" t="s">
        <v>16</v>
      </c>
      <c r="E33" s="61" t="s">
        <v>16</v>
      </c>
      <c r="F33" s="71" t="s">
        <v>16</v>
      </c>
      <c r="G33" s="65">
        <f t="shared" ref="G33:I33" si="8">AVERAGE(G29:G32)</f>
        <v>-1050.3157500000002</v>
      </c>
      <c r="H33" s="65">
        <f t="shared" si="8"/>
        <v>7.2366264003533374</v>
      </c>
      <c r="I33" s="67">
        <f t="shared" si="8"/>
        <v>0.99924999999999997</v>
      </c>
      <c r="J33" s="72" t="s">
        <v>16</v>
      </c>
      <c r="K33" s="73" t="s">
        <v>16</v>
      </c>
    </row>
    <row r="34" spans="3:12" s="60" customFormat="1" x14ac:dyDescent="0.3">
      <c r="C34" s="60">
        <v>1337</v>
      </c>
      <c r="D34" s="61"/>
      <c r="E34" s="61"/>
      <c r="F34" s="71"/>
      <c r="G34" s="65">
        <v>-1141.0740000000001</v>
      </c>
      <c r="H34" s="65">
        <v>10.175056869929801</v>
      </c>
      <c r="I34" s="67">
        <f>999/1000</f>
        <v>0.999</v>
      </c>
      <c r="J34" s="72"/>
      <c r="K34" s="73"/>
      <c r="L34" s="60" t="s">
        <v>71</v>
      </c>
    </row>
    <row r="35" spans="3:12" s="60" customFormat="1" x14ac:dyDescent="0.3">
      <c r="C35" s="60">
        <v>2337</v>
      </c>
      <c r="D35" s="61"/>
      <c r="E35" s="61"/>
      <c r="F35" s="71"/>
      <c r="G35" s="65">
        <v>-1061.1869999999999</v>
      </c>
      <c r="H35" s="65">
        <v>6.3129120768382201</v>
      </c>
      <c r="I35" s="67">
        <f>1000/1000</f>
        <v>1</v>
      </c>
      <c r="J35" s="72"/>
      <c r="K35" s="73"/>
    </row>
    <row r="36" spans="3:12" s="60" customFormat="1" x14ac:dyDescent="0.3">
      <c r="C36" s="60">
        <v>3337</v>
      </c>
      <c r="D36" s="61"/>
      <c r="E36" s="61"/>
      <c r="F36" s="71"/>
      <c r="G36" s="65">
        <v>-1043.17</v>
      </c>
      <c r="H36" s="65">
        <v>6.2871103741589298</v>
      </c>
      <c r="I36" s="67">
        <f>999/1000</f>
        <v>0.999</v>
      </c>
      <c r="J36" s="72"/>
      <c r="K36" s="73"/>
    </row>
    <row r="37" spans="3:12" s="60" customFormat="1" x14ac:dyDescent="0.3">
      <c r="C37" s="60" t="s">
        <v>11</v>
      </c>
      <c r="D37" s="61"/>
      <c r="E37" s="61"/>
      <c r="F37" s="71"/>
      <c r="G37" s="65">
        <f t="shared" ref="G37:I37" si="9">AVERAGE(G34:G36)</f>
        <v>-1081.8103333333333</v>
      </c>
      <c r="H37" s="65">
        <f t="shared" si="9"/>
        <v>7.5916931069756499</v>
      </c>
      <c r="I37" s="67">
        <f t="shared" si="9"/>
        <v>0.99933333333333341</v>
      </c>
      <c r="J37" s="72"/>
      <c r="K37" s="73"/>
    </row>
    <row r="38" spans="3:12" s="60" customFormat="1" x14ac:dyDescent="0.3">
      <c r="C38" s="60">
        <v>1337</v>
      </c>
      <c r="D38" s="61"/>
      <c r="E38" s="61"/>
      <c r="F38" s="71"/>
      <c r="G38" s="65"/>
      <c r="H38" s="65"/>
      <c r="I38" s="67"/>
      <c r="J38" s="72"/>
      <c r="K38" s="73"/>
      <c r="L38" s="60" t="s">
        <v>66</v>
      </c>
    </row>
    <row r="39" spans="3:12" s="60" customFormat="1" x14ac:dyDescent="0.3">
      <c r="C39" s="60">
        <v>2337</v>
      </c>
      <c r="D39" s="61"/>
      <c r="E39" s="61"/>
      <c r="F39" s="71"/>
      <c r="G39" s="65"/>
      <c r="H39" s="65"/>
      <c r="I39" s="67"/>
      <c r="J39" s="72"/>
      <c r="K39" s="73"/>
    </row>
    <row r="40" spans="3:12" s="60" customFormat="1" x14ac:dyDescent="0.3">
      <c r="C40" s="60">
        <v>3337</v>
      </c>
      <c r="D40" s="61"/>
      <c r="E40" s="61"/>
      <c r="F40" s="71"/>
      <c r="G40" s="65"/>
      <c r="H40" s="65"/>
      <c r="I40" s="67"/>
      <c r="J40" s="72"/>
      <c r="K40" s="73"/>
    </row>
    <row r="41" spans="3:12" s="60" customFormat="1" x14ac:dyDescent="0.3">
      <c r="C41" s="60" t="s">
        <v>11</v>
      </c>
      <c r="D41" s="61"/>
      <c r="E41" s="61"/>
      <c r="F41" s="71"/>
      <c r="G41" s="65"/>
      <c r="H41" s="65"/>
      <c r="I41" s="67"/>
      <c r="J41" s="72"/>
      <c r="K41" s="73"/>
    </row>
    <row r="42" spans="3:12" s="1" customFormat="1" x14ac:dyDescent="0.3">
      <c r="C42" s="1">
        <v>1337</v>
      </c>
      <c r="D42" s="3"/>
      <c r="E42" s="3"/>
      <c r="F42" s="70"/>
      <c r="G42" s="9">
        <v>-815.82899999999995</v>
      </c>
      <c r="H42" s="9">
        <v>6.9932979326620197</v>
      </c>
      <c r="I42" s="82">
        <f>3/1000</f>
        <v>3.0000000000000001E-3</v>
      </c>
      <c r="J42" s="78"/>
      <c r="K42" s="79"/>
      <c r="L42" s="1" t="s">
        <v>78</v>
      </c>
    </row>
    <row r="43" spans="3:12" s="1" customFormat="1" x14ac:dyDescent="0.3">
      <c r="C43" s="1">
        <v>2337</v>
      </c>
      <c r="D43" s="3"/>
      <c r="E43" s="3"/>
      <c r="F43" s="70"/>
      <c r="G43" s="9">
        <v>-807.13800000000003</v>
      </c>
      <c r="H43" s="9">
        <v>6.5175124798441999</v>
      </c>
      <c r="I43" s="82">
        <v>0</v>
      </c>
      <c r="J43" s="78"/>
      <c r="K43" s="79"/>
    </row>
    <row r="44" spans="3:12" s="1" customFormat="1" x14ac:dyDescent="0.3">
      <c r="C44" s="1">
        <v>3337</v>
      </c>
      <c r="D44" s="3"/>
      <c r="E44" s="3"/>
      <c r="F44" s="70"/>
      <c r="G44" s="9">
        <v>-817.84500000000003</v>
      </c>
      <c r="H44" s="9">
        <v>6.8723994972534701</v>
      </c>
      <c r="I44" s="82">
        <v>0</v>
      </c>
      <c r="J44" s="78"/>
      <c r="K44" s="79"/>
    </row>
    <row r="45" spans="3:12" s="60" customFormat="1" x14ac:dyDescent="0.3">
      <c r="C45" s="60" t="s">
        <v>11</v>
      </c>
      <c r="D45" s="61"/>
      <c r="E45" s="61"/>
      <c r="F45" s="71"/>
      <c r="G45" s="65">
        <f t="shared" ref="G45" si="10">AVERAGE(G42:G44)</f>
        <v>-813.60399999999993</v>
      </c>
      <c r="H45" s="65">
        <f t="shared" ref="H45" si="11">AVERAGE(H42:H44)</f>
        <v>6.7944033032532305</v>
      </c>
      <c r="I45" s="81">
        <f t="shared" ref="I45" si="12">AVERAGE(I42:I44)</f>
        <v>1E-3</v>
      </c>
      <c r="J45" s="72"/>
      <c r="K45" s="73"/>
    </row>
    <row r="46" spans="3:12" s="1" customFormat="1" x14ac:dyDescent="0.3">
      <c r="C46" s="1">
        <v>1337</v>
      </c>
      <c r="D46" s="3" t="s">
        <v>77</v>
      </c>
      <c r="E46" s="3"/>
      <c r="F46" s="70"/>
      <c r="G46" s="9">
        <v>-1115.4829999999999</v>
      </c>
      <c r="H46" s="9">
        <v>9.4451789351031401</v>
      </c>
      <c r="I46" s="82">
        <f>999/1000</f>
        <v>0.999</v>
      </c>
      <c r="J46" s="78"/>
      <c r="K46" s="79"/>
      <c r="L46" s="1" t="s">
        <v>80</v>
      </c>
    </row>
    <row r="47" spans="3:12" s="1" customFormat="1" x14ac:dyDescent="0.3">
      <c r="C47" s="1">
        <v>2337</v>
      </c>
      <c r="D47" s="3"/>
      <c r="E47" s="3"/>
      <c r="F47" s="70"/>
      <c r="G47" s="9">
        <v>-1080.644</v>
      </c>
      <c r="H47" s="9">
        <v>6.4610741167968904</v>
      </c>
      <c r="I47" s="82">
        <f>1000/1000</f>
        <v>1</v>
      </c>
      <c r="J47" s="78"/>
      <c r="K47" s="79"/>
    </row>
    <row r="48" spans="3:12" s="1" customFormat="1" x14ac:dyDescent="0.3">
      <c r="C48" s="1">
        <v>3337</v>
      </c>
      <c r="D48" s="3"/>
      <c r="E48" s="3"/>
      <c r="F48" s="70"/>
      <c r="G48" s="9">
        <v>-1024.79</v>
      </c>
      <c r="H48" s="9">
        <v>6.1014535674407604</v>
      </c>
      <c r="I48" s="82">
        <f>1000/1000</f>
        <v>1</v>
      </c>
      <c r="J48" s="78"/>
      <c r="K48" s="79"/>
    </row>
    <row r="49" spans="1:12" s="60" customFormat="1" x14ac:dyDescent="0.3">
      <c r="C49" s="60" t="s">
        <v>11</v>
      </c>
      <c r="D49" s="61"/>
      <c r="E49" s="61"/>
      <c r="F49" s="71"/>
      <c r="G49" s="65">
        <f>AVERAGE(G46:G48)</f>
        <v>-1073.6389999999999</v>
      </c>
      <c r="H49" s="65">
        <f t="shared" ref="H49:I49" si="13">AVERAGE(H46:H48)</f>
        <v>7.3359022064469306</v>
      </c>
      <c r="I49" s="81">
        <f t="shared" si="13"/>
        <v>0.9996666666666667</v>
      </c>
      <c r="J49" s="72"/>
      <c r="K49" s="73"/>
    </row>
    <row r="50" spans="1:12" s="60" customFormat="1" ht="43.2" x14ac:dyDescent="0.3">
      <c r="A50" s="60" t="s">
        <v>28</v>
      </c>
      <c r="B50" s="66" t="s">
        <v>58</v>
      </c>
      <c r="C50" s="60">
        <v>1337</v>
      </c>
      <c r="D50" s="61"/>
      <c r="E50" s="61" t="s">
        <v>62</v>
      </c>
      <c r="F50" s="71"/>
      <c r="G50" s="65"/>
      <c r="H50" s="65"/>
      <c r="I50" s="67"/>
      <c r="J50" s="72"/>
      <c r="K50" s="73"/>
      <c r="L50" s="60" t="s">
        <v>57</v>
      </c>
    </row>
    <row r="51" spans="1:12" s="60" customFormat="1" x14ac:dyDescent="0.3">
      <c r="B51" s="60" t="s">
        <v>56</v>
      </c>
      <c r="C51" s="60">
        <v>2337</v>
      </c>
      <c r="D51" s="61"/>
      <c r="E51" s="61"/>
      <c r="F51" s="71"/>
      <c r="G51" s="65"/>
      <c r="H51" s="65"/>
      <c r="I51" s="67"/>
      <c r="J51" s="72"/>
      <c r="K51" s="73"/>
    </row>
    <row r="52" spans="1:12" s="60" customFormat="1" x14ac:dyDescent="0.3">
      <c r="C52" s="60">
        <v>3337</v>
      </c>
      <c r="D52" s="61"/>
      <c r="E52" s="61"/>
      <c r="F52" s="71"/>
      <c r="G52" s="65"/>
      <c r="H52" s="65"/>
      <c r="I52" s="67"/>
      <c r="J52" s="72"/>
      <c r="K52" s="73"/>
    </row>
    <row r="53" spans="1:12" s="60" customFormat="1" x14ac:dyDescent="0.3">
      <c r="C53" s="60" t="s">
        <v>11</v>
      </c>
      <c r="D53" s="61"/>
      <c r="E53" s="61"/>
      <c r="F53" s="71"/>
      <c r="G53" s="65"/>
      <c r="H53" s="65"/>
      <c r="I53" s="67"/>
      <c r="J53" s="72"/>
      <c r="K53" s="73"/>
    </row>
    <row r="54" spans="1:12" s="60" customFormat="1" x14ac:dyDescent="0.3">
      <c r="C54" s="60">
        <v>1337</v>
      </c>
      <c r="D54" s="61"/>
      <c r="E54" s="61" t="s">
        <v>62</v>
      </c>
      <c r="F54" s="71"/>
      <c r="G54" s="65"/>
      <c r="H54" s="65"/>
      <c r="I54" s="67"/>
      <c r="J54" s="72"/>
      <c r="K54" s="73"/>
      <c r="L54" s="60" t="s">
        <v>59</v>
      </c>
    </row>
    <row r="55" spans="1:12" s="60" customFormat="1" x14ac:dyDescent="0.3">
      <c r="C55" s="60">
        <v>2337</v>
      </c>
      <c r="D55" s="61"/>
      <c r="E55" s="61"/>
      <c r="F55" s="71"/>
      <c r="G55" s="65"/>
      <c r="H55" s="65"/>
      <c r="I55" s="67"/>
      <c r="J55" s="72"/>
      <c r="K55" s="73"/>
    </row>
    <row r="56" spans="1:12" s="60" customFormat="1" x14ac:dyDescent="0.3">
      <c r="C56" s="60">
        <v>3337</v>
      </c>
      <c r="D56" s="61"/>
      <c r="E56" s="61"/>
      <c r="F56" s="71"/>
      <c r="G56" s="65"/>
      <c r="H56" s="65"/>
      <c r="I56" s="67"/>
      <c r="J56" s="72"/>
      <c r="K56" s="73"/>
    </row>
    <row r="57" spans="1:12" s="60" customFormat="1" x14ac:dyDescent="0.3">
      <c r="C57" s="60" t="s">
        <v>11</v>
      </c>
      <c r="D57" s="61"/>
      <c r="E57" s="61"/>
      <c r="F57" s="71"/>
      <c r="G57" s="65"/>
      <c r="H57" s="65"/>
      <c r="I57" s="67"/>
      <c r="J57" s="72"/>
      <c r="K57" s="73"/>
    </row>
    <row r="58" spans="1:12" s="60" customFormat="1" x14ac:dyDescent="0.3">
      <c r="C58" s="60">
        <v>1337</v>
      </c>
      <c r="D58" s="61"/>
      <c r="E58" s="61" t="s">
        <v>62</v>
      </c>
      <c r="F58" s="71"/>
      <c r="G58" s="65">
        <v>-10001.77</v>
      </c>
      <c r="H58" s="65">
        <v>67.160288068123904</v>
      </c>
      <c r="I58" s="67">
        <f>1000/1000</f>
        <v>1</v>
      </c>
      <c r="J58" s="72"/>
      <c r="K58" s="73"/>
      <c r="L58" s="60" t="s">
        <v>43</v>
      </c>
    </row>
    <row r="59" spans="1:12" s="60" customFormat="1" x14ac:dyDescent="0.3">
      <c r="C59" s="60">
        <v>2337</v>
      </c>
      <c r="D59" s="61"/>
      <c r="E59" s="61"/>
      <c r="F59" s="71"/>
      <c r="G59" s="65">
        <v>-5353.942</v>
      </c>
      <c r="H59" s="65">
        <v>45.629153732085598</v>
      </c>
      <c r="I59" s="67">
        <f>1000/1000</f>
        <v>1</v>
      </c>
      <c r="J59" s="72"/>
      <c r="K59" s="73"/>
    </row>
    <row r="60" spans="1:12" s="60" customFormat="1" x14ac:dyDescent="0.3">
      <c r="C60" s="60">
        <v>3337</v>
      </c>
      <c r="D60" s="61"/>
      <c r="E60" s="61"/>
      <c r="F60" s="71"/>
      <c r="G60" s="65">
        <v>-4676.46</v>
      </c>
      <c r="H60" s="65">
        <v>16.7972934566098</v>
      </c>
      <c r="I60" s="67">
        <f>1000/1000</f>
        <v>1</v>
      </c>
      <c r="J60" s="72"/>
      <c r="K60" s="73"/>
    </row>
    <row r="61" spans="1:12" s="60" customFormat="1" x14ac:dyDescent="0.3">
      <c r="C61" s="60" t="s">
        <v>11</v>
      </c>
      <c r="D61" s="61"/>
      <c r="E61" s="61"/>
      <c r="F61" s="71"/>
      <c r="G61" s="65"/>
      <c r="H61" s="65"/>
      <c r="I61" s="67"/>
      <c r="J61" s="72"/>
      <c r="K61" s="73"/>
    </row>
    <row r="62" spans="1:12" s="60" customFormat="1" x14ac:dyDescent="0.3">
      <c r="C62" s="60">
        <v>1337</v>
      </c>
      <c r="D62" s="61"/>
      <c r="E62" s="61" t="s">
        <v>75</v>
      </c>
      <c r="F62" s="71"/>
      <c r="G62" s="65"/>
      <c r="H62" s="65"/>
      <c r="I62" s="67"/>
      <c r="J62" s="72"/>
      <c r="K62" s="73"/>
      <c r="L62" s="60" t="s">
        <v>37</v>
      </c>
    </row>
    <row r="63" spans="1:12" s="60" customFormat="1" x14ac:dyDescent="0.3">
      <c r="C63" s="60">
        <v>2337</v>
      </c>
      <c r="D63" s="61"/>
      <c r="E63" s="61"/>
      <c r="F63" s="71"/>
      <c r="G63" s="65"/>
      <c r="H63" s="65"/>
      <c r="I63" s="67"/>
      <c r="J63" s="72"/>
      <c r="K63" s="73"/>
    </row>
    <row r="64" spans="1:12" s="60" customFormat="1" x14ac:dyDescent="0.3">
      <c r="C64" s="60">
        <v>3337</v>
      </c>
      <c r="D64" s="61"/>
      <c r="E64" s="61"/>
      <c r="F64" s="71"/>
      <c r="G64" s="65"/>
      <c r="H64" s="65"/>
      <c r="I64" s="67"/>
      <c r="J64" s="72"/>
      <c r="K64" s="73"/>
    </row>
    <row r="65" spans="3:12" s="60" customFormat="1" x14ac:dyDescent="0.3">
      <c r="C65" s="60" t="s">
        <v>11</v>
      </c>
      <c r="D65" s="61"/>
      <c r="E65" s="61"/>
      <c r="F65" s="71"/>
      <c r="G65" s="65"/>
      <c r="H65" s="65"/>
      <c r="I65" s="67"/>
      <c r="J65" s="72"/>
      <c r="K65" s="73"/>
    </row>
    <row r="66" spans="3:12" s="60" customFormat="1" x14ac:dyDescent="0.3">
      <c r="C66" s="60">
        <v>1337</v>
      </c>
      <c r="D66" s="61"/>
      <c r="E66" s="61" t="s">
        <v>75</v>
      </c>
      <c r="F66" s="71"/>
      <c r="G66" s="65"/>
      <c r="H66" s="65"/>
      <c r="I66" s="67"/>
      <c r="J66" s="72"/>
      <c r="K66" s="73"/>
      <c r="L66" s="60" t="s">
        <v>74</v>
      </c>
    </row>
    <row r="67" spans="3:12" s="60" customFormat="1" x14ac:dyDescent="0.3">
      <c r="C67" s="60">
        <v>2337</v>
      </c>
      <c r="D67" s="61"/>
      <c r="E67" s="61"/>
      <c r="F67" s="71"/>
      <c r="G67" s="65"/>
      <c r="H67" s="65"/>
      <c r="I67" s="67"/>
      <c r="J67" s="72"/>
      <c r="K67" s="73"/>
    </row>
    <row r="68" spans="3:12" s="60" customFormat="1" x14ac:dyDescent="0.3">
      <c r="C68" s="60">
        <v>3337</v>
      </c>
      <c r="D68" s="61"/>
      <c r="E68" s="61"/>
      <c r="F68" s="71"/>
      <c r="G68" s="65"/>
      <c r="H68" s="65"/>
      <c r="I68" s="67"/>
      <c r="J68" s="72"/>
      <c r="K68" s="73"/>
    </row>
    <row r="69" spans="3:12" s="60" customFormat="1" x14ac:dyDescent="0.3">
      <c r="C69" s="60" t="s">
        <v>11</v>
      </c>
      <c r="D69" s="61"/>
      <c r="E69" s="61"/>
      <c r="F69" s="71"/>
      <c r="G69" s="65"/>
      <c r="H69" s="65"/>
      <c r="I69" s="67"/>
      <c r="J69" s="72"/>
      <c r="K69" s="73"/>
    </row>
    <row r="70" spans="3:12" s="60" customFormat="1" x14ac:dyDescent="0.3">
      <c r="C70" s="60">
        <v>1337</v>
      </c>
      <c r="D70" s="61"/>
      <c r="E70" s="61" t="s">
        <v>75</v>
      </c>
      <c r="F70" s="71"/>
      <c r="G70" s="65"/>
      <c r="H70" s="65"/>
      <c r="I70" s="67"/>
      <c r="J70" s="72"/>
      <c r="K70" s="73"/>
      <c r="L70" s="60" t="s">
        <v>67</v>
      </c>
    </row>
    <row r="71" spans="3:12" s="60" customFormat="1" x14ac:dyDescent="0.3">
      <c r="C71" s="60">
        <v>2337</v>
      </c>
      <c r="D71" s="61"/>
      <c r="E71" s="61"/>
      <c r="F71" s="71"/>
      <c r="G71" s="65"/>
      <c r="H71" s="65"/>
      <c r="I71" s="67"/>
      <c r="J71" s="72"/>
      <c r="K71" s="73"/>
    </row>
    <row r="72" spans="3:12" s="60" customFormat="1" x14ac:dyDescent="0.3">
      <c r="C72" s="60">
        <v>3337</v>
      </c>
      <c r="D72" s="61"/>
      <c r="E72" s="61"/>
      <c r="F72" s="71"/>
      <c r="G72" s="65"/>
      <c r="H72" s="65"/>
      <c r="I72" s="67"/>
      <c r="J72" s="72"/>
      <c r="K72" s="73"/>
    </row>
    <row r="73" spans="3:12" s="60" customFormat="1" x14ac:dyDescent="0.3">
      <c r="C73" s="60" t="s">
        <v>11</v>
      </c>
      <c r="D73" s="61"/>
      <c r="E73" s="61"/>
      <c r="F73" s="71"/>
      <c r="G73" s="65"/>
      <c r="H73" s="65"/>
      <c r="I73" s="67"/>
      <c r="J73" s="72"/>
      <c r="K73" s="73"/>
    </row>
    <row r="74" spans="3:12" s="60" customFormat="1" x14ac:dyDescent="0.3">
      <c r="C74" s="60">
        <v>1337</v>
      </c>
      <c r="D74" s="61"/>
      <c r="E74" s="61" t="s">
        <v>75</v>
      </c>
      <c r="F74" s="71"/>
      <c r="G74" s="65"/>
      <c r="H74" s="65"/>
      <c r="I74" s="67"/>
      <c r="J74" s="72"/>
      <c r="K74" s="73"/>
      <c r="L74" s="60" t="s">
        <v>68</v>
      </c>
    </row>
    <row r="75" spans="3:12" s="60" customFormat="1" x14ac:dyDescent="0.3">
      <c r="C75" s="60">
        <v>2337</v>
      </c>
      <c r="D75" s="61"/>
      <c r="E75" s="61"/>
      <c r="F75" s="71"/>
      <c r="G75" s="65"/>
      <c r="H75" s="65"/>
      <c r="I75" s="67"/>
      <c r="J75" s="72"/>
      <c r="K75" s="73"/>
    </row>
    <row r="76" spans="3:12" s="60" customFormat="1" x14ac:dyDescent="0.3">
      <c r="C76" s="60">
        <v>3337</v>
      </c>
      <c r="D76" s="61"/>
      <c r="E76" s="61"/>
      <c r="F76" s="71"/>
      <c r="G76" s="65"/>
      <c r="H76" s="65"/>
      <c r="I76" s="67"/>
      <c r="J76" s="72"/>
      <c r="K76" s="73"/>
    </row>
    <row r="77" spans="3:12" s="60" customFormat="1" x14ac:dyDescent="0.3">
      <c r="C77" s="60" t="s">
        <v>11</v>
      </c>
      <c r="D77" s="61"/>
      <c r="E77" s="61"/>
      <c r="F77" s="71"/>
      <c r="G77" s="65"/>
      <c r="H77" s="65"/>
      <c r="I77" s="67"/>
      <c r="J77" s="72"/>
      <c r="K77" s="73"/>
    </row>
    <row r="78" spans="3:12" s="60" customFormat="1" x14ac:dyDescent="0.3">
      <c r="C78" s="60">
        <v>1337</v>
      </c>
      <c r="D78" s="61"/>
      <c r="E78" s="61" t="s">
        <v>76</v>
      </c>
      <c r="F78" s="71"/>
      <c r="G78" s="65"/>
      <c r="H78" s="65"/>
      <c r="I78" s="67"/>
      <c r="J78" s="72"/>
      <c r="K78" s="73"/>
      <c r="L78" s="60" t="s">
        <v>69</v>
      </c>
    </row>
    <row r="79" spans="3:12" s="60" customFormat="1" x14ac:dyDescent="0.3">
      <c r="C79" s="60">
        <v>2337</v>
      </c>
      <c r="D79" s="61"/>
      <c r="E79" s="61"/>
      <c r="F79" s="71"/>
      <c r="G79" s="65"/>
      <c r="H79" s="65"/>
      <c r="I79" s="67"/>
      <c r="J79" s="72"/>
      <c r="K79" s="73"/>
    </row>
    <row r="80" spans="3:12" s="60" customFormat="1" x14ac:dyDescent="0.3">
      <c r="C80" s="60">
        <v>3337</v>
      </c>
      <c r="D80" s="61"/>
      <c r="E80" s="61"/>
      <c r="F80" s="71"/>
      <c r="G80" s="65"/>
      <c r="H80" s="65"/>
      <c r="I80" s="67"/>
      <c r="J80" s="72"/>
      <c r="K80" s="73"/>
    </row>
    <row r="81" spans="1:12" s="60" customFormat="1" x14ac:dyDescent="0.3">
      <c r="C81" s="60" t="s">
        <v>11</v>
      </c>
      <c r="D81" s="61"/>
      <c r="E81" s="61"/>
      <c r="F81" s="71"/>
      <c r="G81" s="65"/>
      <c r="H81" s="65"/>
      <c r="I81" s="67"/>
      <c r="J81" s="72"/>
      <c r="K81" s="73"/>
    </row>
    <row r="82" spans="1:12" s="60" customFormat="1" x14ac:dyDescent="0.3">
      <c r="C82" s="60">
        <v>1337</v>
      </c>
      <c r="D82" s="61"/>
      <c r="E82" s="61" t="s">
        <v>76</v>
      </c>
      <c r="F82" s="71"/>
      <c r="G82" s="65"/>
      <c r="H82" s="65"/>
      <c r="I82" s="67"/>
      <c r="J82" s="72"/>
      <c r="K82" s="73"/>
      <c r="L82" s="60" t="s">
        <v>42</v>
      </c>
    </row>
    <row r="83" spans="1:12" s="60" customFormat="1" x14ac:dyDescent="0.3">
      <c r="C83" s="60">
        <v>2337</v>
      </c>
      <c r="D83" s="61"/>
      <c r="E83" s="61"/>
      <c r="F83" s="71"/>
      <c r="G83" s="65"/>
      <c r="H83" s="65"/>
      <c r="I83" s="67"/>
      <c r="J83" s="72"/>
      <c r="K83" s="73"/>
    </row>
    <row r="84" spans="1:12" s="60" customFormat="1" x14ac:dyDescent="0.3">
      <c r="C84" s="60">
        <v>3337</v>
      </c>
      <c r="D84" s="61"/>
      <c r="E84" s="61"/>
      <c r="F84" s="71"/>
      <c r="G84" s="65"/>
      <c r="H84" s="65"/>
      <c r="I84" s="67"/>
      <c r="J84" s="72"/>
      <c r="K84" s="73"/>
    </row>
    <row r="85" spans="1:12" s="60" customFormat="1" x14ac:dyDescent="0.3">
      <c r="C85" s="60" t="s">
        <v>11</v>
      </c>
      <c r="D85" s="61"/>
      <c r="E85" s="61"/>
      <c r="F85" s="71"/>
      <c r="G85" s="65"/>
      <c r="H85" s="65"/>
      <c r="I85" s="67"/>
      <c r="J85" s="72"/>
      <c r="K85" s="73"/>
    </row>
    <row r="86" spans="1:12" s="60" customFormat="1" x14ac:dyDescent="0.3">
      <c r="C86" s="60">
        <v>1337</v>
      </c>
      <c r="D86" s="61"/>
      <c r="E86" s="61" t="s">
        <v>76</v>
      </c>
      <c r="F86" s="71"/>
      <c r="G86" s="65"/>
      <c r="H86" s="65"/>
      <c r="I86" s="67"/>
      <c r="J86" s="72"/>
      <c r="K86" s="73"/>
      <c r="L86" s="60" t="s">
        <v>70</v>
      </c>
    </row>
    <row r="87" spans="1:12" s="60" customFormat="1" x14ac:dyDescent="0.3">
      <c r="C87" s="60">
        <v>2337</v>
      </c>
      <c r="D87" s="61"/>
      <c r="E87" s="61"/>
      <c r="F87" s="71"/>
      <c r="G87" s="65"/>
      <c r="H87" s="65"/>
      <c r="I87" s="67"/>
      <c r="J87" s="72"/>
      <c r="K87" s="73"/>
    </row>
    <row r="88" spans="1:12" s="60" customFormat="1" x14ac:dyDescent="0.3">
      <c r="C88" s="60">
        <v>3337</v>
      </c>
      <c r="D88" s="61"/>
      <c r="E88" s="61"/>
      <c r="F88" s="71"/>
      <c r="G88" s="65"/>
      <c r="H88" s="65"/>
      <c r="I88" s="67"/>
      <c r="J88" s="72"/>
      <c r="K88" s="73"/>
    </row>
    <row r="89" spans="1:12" s="60" customFormat="1" x14ac:dyDescent="0.3">
      <c r="C89" s="60" t="s">
        <v>11</v>
      </c>
      <c r="D89" s="61"/>
      <c r="E89" s="61"/>
      <c r="F89" s="71"/>
      <c r="G89" s="65"/>
      <c r="H89" s="65"/>
      <c r="I89" s="67"/>
      <c r="J89" s="72"/>
      <c r="K89" s="73"/>
    </row>
    <row r="90" spans="1:12" s="60" customFormat="1" ht="42" customHeight="1" x14ac:dyDescent="0.3">
      <c r="A90" s="60" t="s">
        <v>28</v>
      </c>
      <c r="B90" s="66" t="s">
        <v>39</v>
      </c>
      <c r="C90" s="60">
        <v>1337</v>
      </c>
      <c r="D90" s="65">
        <v>-2115.9580000000001</v>
      </c>
      <c r="E90" s="65">
        <v>20.8899623926125</v>
      </c>
      <c r="F90" s="67">
        <f>261/1000</f>
        <v>0.26100000000000001</v>
      </c>
      <c r="G90" s="65">
        <v>-2051.81</v>
      </c>
      <c r="H90" s="65">
        <v>19.650946073448502</v>
      </c>
      <c r="I90" s="67">
        <f>285/1000</f>
        <v>0.28499999999999998</v>
      </c>
      <c r="J90" s="68">
        <f t="shared" si="1"/>
        <v>3.0316291722236516E-2</v>
      </c>
      <c r="K90" s="69">
        <f t="shared" si="2"/>
        <v>2.3999999999999966E-2</v>
      </c>
      <c r="L90" s="60" t="s">
        <v>38</v>
      </c>
    </row>
    <row r="91" spans="1:12" s="60" customFormat="1" x14ac:dyDescent="0.3">
      <c r="B91" s="60" t="s">
        <v>34</v>
      </c>
      <c r="C91" s="60">
        <v>2337</v>
      </c>
      <c r="D91" s="65">
        <v>-2211.7020000000002</v>
      </c>
      <c r="E91" s="65">
        <v>21.517583265450199</v>
      </c>
      <c r="F91" s="67">
        <f>284/1000</f>
        <v>0.28399999999999997</v>
      </c>
      <c r="G91" s="65">
        <v>-2185.2719999999999</v>
      </c>
      <c r="H91" s="65">
        <v>20.9423695617009</v>
      </c>
      <c r="I91" s="67">
        <f>253/1000</f>
        <v>0.253</v>
      </c>
      <c r="J91" s="68">
        <f t="shared" si="1"/>
        <v>1.1950072839831174E-2</v>
      </c>
      <c r="K91" s="69">
        <f t="shared" si="2"/>
        <v>-3.0999999999999972E-2</v>
      </c>
    </row>
    <row r="92" spans="1:12" s="60" customFormat="1" x14ac:dyDescent="0.3">
      <c r="C92" s="60">
        <v>3337</v>
      </c>
      <c r="D92" s="65">
        <v>-2088.9609999999998</v>
      </c>
      <c r="E92" s="65">
        <v>20.806482480039499</v>
      </c>
      <c r="F92" s="67">
        <f>510/1000</f>
        <v>0.51</v>
      </c>
      <c r="G92" s="65">
        <v>-2110.335</v>
      </c>
      <c r="H92" s="65">
        <v>20.4481938421564</v>
      </c>
      <c r="I92" s="67">
        <f>190/1000</f>
        <v>0.19</v>
      </c>
      <c r="J92" s="68">
        <f t="shared" si="1"/>
        <v>-1.023188082496526E-2</v>
      </c>
      <c r="K92" s="69">
        <f t="shared" si="2"/>
        <v>-0.32</v>
      </c>
    </row>
    <row r="93" spans="1:12" s="60" customFormat="1" x14ac:dyDescent="0.3">
      <c r="C93" s="60" t="s">
        <v>11</v>
      </c>
      <c r="D93" s="65">
        <f t="shared" ref="D93:I93" si="14">AVERAGE(D90:D92)</f>
        <v>-2138.8736666666664</v>
      </c>
      <c r="E93" s="65">
        <f t="shared" si="14"/>
        <v>21.071342712700734</v>
      </c>
      <c r="F93" s="67">
        <f t="shared" si="14"/>
        <v>0.35166666666666663</v>
      </c>
      <c r="G93" s="65">
        <f t="shared" si="14"/>
        <v>-2115.8056666666666</v>
      </c>
      <c r="H93" s="65">
        <f t="shared" si="14"/>
        <v>20.347169825768599</v>
      </c>
      <c r="I93" s="67">
        <f t="shared" si="14"/>
        <v>0.24266666666666667</v>
      </c>
      <c r="J93" s="68">
        <f t="shared" si="1"/>
        <v>1.0785115717446812E-2</v>
      </c>
      <c r="K93" s="69">
        <f t="shared" si="2"/>
        <v>-0.10899999999999996</v>
      </c>
    </row>
    <row r="94" spans="1:12" s="2" customFormat="1" x14ac:dyDescent="0.3">
      <c r="C94" s="2">
        <v>1337</v>
      </c>
      <c r="D94" s="12">
        <v>-2122.7910000000002</v>
      </c>
      <c r="E94" s="12">
        <v>20.202473691661101</v>
      </c>
      <c r="F94" s="74">
        <f>265/1000</f>
        <v>0.26500000000000001</v>
      </c>
      <c r="G94" s="12">
        <v>-2218.9920000000002</v>
      </c>
      <c r="H94" s="12">
        <v>18.8031355321882</v>
      </c>
      <c r="I94" s="74">
        <f>313/1000</f>
        <v>0.313</v>
      </c>
      <c r="J94" s="75">
        <f t="shared" ref="J94:J96" si="15">(D94-G94)/D94</f>
        <v>-4.5318168392460688E-2</v>
      </c>
      <c r="K94" s="76">
        <f t="shared" ref="K94:K96" si="16">I94-F94</f>
        <v>4.7999999999999987E-2</v>
      </c>
      <c r="L94" s="2" t="s">
        <v>44</v>
      </c>
    </row>
    <row r="95" spans="1:12" s="2" customFormat="1" x14ac:dyDescent="0.3">
      <c r="C95" s="2">
        <v>2337</v>
      </c>
      <c r="D95" s="12">
        <v>-2216.3200000000002</v>
      </c>
      <c r="E95" s="12">
        <v>20.087368368404199</v>
      </c>
      <c r="F95" s="74">
        <f>211/1000</f>
        <v>0.21099999999999999</v>
      </c>
      <c r="G95" s="12">
        <v>-2299.683</v>
      </c>
      <c r="H95" s="12">
        <v>19.2086106534083</v>
      </c>
      <c r="I95" s="74">
        <f>271/1000</f>
        <v>0.27100000000000002</v>
      </c>
      <c r="J95" s="75">
        <f t="shared" si="15"/>
        <v>-3.7613250794109071E-2</v>
      </c>
      <c r="K95" s="76">
        <f t="shared" si="16"/>
        <v>6.0000000000000026E-2</v>
      </c>
    </row>
    <row r="96" spans="1:12" s="2" customFormat="1" x14ac:dyDescent="0.3">
      <c r="C96" s="2">
        <v>3337</v>
      </c>
      <c r="D96" s="12">
        <v>-2311.7150000000001</v>
      </c>
      <c r="E96" s="12">
        <v>20.485669489412</v>
      </c>
      <c r="F96" s="74">
        <f>291/1000</f>
        <v>0.29099999999999998</v>
      </c>
      <c r="G96" s="12">
        <v>-2073.9189999999999</v>
      </c>
      <c r="H96" s="12">
        <v>18.262953318204101</v>
      </c>
      <c r="I96" s="74">
        <f>588/1000</f>
        <v>0.58799999999999997</v>
      </c>
      <c r="J96" s="75">
        <f t="shared" si="15"/>
        <v>0.10286562141094394</v>
      </c>
      <c r="K96" s="76">
        <f t="shared" si="16"/>
        <v>0.29699999999999999</v>
      </c>
    </row>
    <row r="97" spans="3:12" s="60" customFormat="1" x14ac:dyDescent="0.3">
      <c r="C97" s="60" t="s">
        <v>11</v>
      </c>
      <c r="D97" s="65">
        <f t="shared" ref="D97:K97" si="17">AVERAGE(D94:D96)</f>
        <v>-2216.9420000000005</v>
      </c>
      <c r="E97" s="65">
        <f t="shared" si="17"/>
        <v>20.258503849825768</v>
      </c>
      <c r="F97" s="67">
        <f t="shared" si="17"/>
        <v>0.25566666666666665</v>
      </c>
      <c r="G97" s="65">
        <f t="shared" si="17"/>
        <v>-2197.5313333333334</v>
      </c>
      <c r="H97" s="65">
        <f t="shared" si="17"/>
        <v>18.758233167933536</v>
      </c>
      <c r="I97" s="67">
        <f t="shared" si="17"/>
        <v>0.39066666666666672</v>
      </c>
      <c r="J97" s="68">
        <f t="shared" si="17"/>
        <v>6.6447340747913903E-3</v>
      </c>
      <c r="K97" s="69">
        <f t="shared" si="17"/>
        <v>0.13500000000000001</v>
      </c>
    </row>
    <row r="98" spans="3:12" s="60" customFormat="1" x14ac:dyDescent="0.3">
      <c r="C98" s="60">
        <v>1337</v>
      </c>
      <c r="D98" s="61" t="s">
        <v>16</v>
      </c>
      <c r="E98" s="61" t="s">
        <v>16</v>
      </c>
      <c r="F98" s="71" t="s">
        <v>16</v>
      </c>
      <c r="G98" s="65">
        <v>-2323.2069999999999</v>
      </c>
      <c r="H98" s="65">
        <v>20.507697623400102</v>
      </c>
      <c r="I98" s="67">
        <f>298/1000</f>
        <v>0.29799999999999999</v>
      </c>
      <c r="J98" s="72" t="s">
        <v>16</v>
      </c>
      <c r="K98" s="73" t="s">
        <v>16</v>
      </c>
      <c r="L98" s="60" t="s">
        <v>43</v>
      </c>
    </row>
    <row r="99" spans="3:12" s="60" customFormat="1" x14ac:dyDescent="0.3">
      <c r="C99" s="60">
        <v>2337</v>
      </c>
      <c r="D99" s="61" t="s">
        <v>16</v>
      </c>
      <c r="E99" s="61" t="s">
        <v>16</v>
      </c>
      <c r="F99" s="71" t="s">
        <v>16</v>
      </c>
      <c r="G99" s="65">
        <v>-2044.375</v>
      </c>
      <c r="H99" s="65">
        <v>18.626568106186699</v>
      </c>
      <c r="I99" s="67">
        <f>755/1000</f>
        <v>0.755</v>
      </c>
      <c r="J99" s="72" t="s">
        <v>16</v>
      </c>
      <c r="K99" s="73" t="s">
        <v>16</v>
      </c>
    </row>
    <row r="100" spans="3:12" s="60" customFormat="1" x14ac:dyDescent="0.3">
      <c r="C100" s="60">
        <v>3337</v>
      </c>
      <c r="D100" s="61" t="s">
        <v>16</v>
      </c>
      <c r="E100" s="61" t="s">
        <v>16</v>
      </c>
      <c r="F100" s="71" t="s">
        <v>16</v>
      </c>
      <c r="G100" s="65">
        <v>-2116.7800000000002</v>
      </c>
      <c r="H100" s="65">
        <v>18.275003511719301</v>
      </c>
      <c r="I100" s="67">
        <f>915/1000</f>
        <v>0.91500000000000004</v>
      </c>
      <c r="J100" s="72" t="s">
        <v>16</v>
      </c>
      <c r="K100" s="73" t="s">
        <v>16</v>
      </c>
    </row>
    <row r="101" spans="3:12" s="60" customFormat="1" x14ac:dyDescent="0.3">
      <c r="C101" s="60" t="s">
        <v>11</v>
      </c>
      <c r="D101" s="61" t="s">
        <v>16</v>
      </c>
      <c r="E101" s="61" t="s">
        <v>16</v>
      </c>
      <c r="F101" s="71" t="s">
        <v>16</v>
      </c>
      <c r="G101" s="65">
        <f t="shared" ref="G101:I101" si="18">AVERAGE(G98:G100)</f>
        <v>-2161.4540000000002</v>
      </c>
      <c r="H101" s="65">
        <f t="shared" si="18"/>
        <v>19.136423080435367</v>
      </c>
      <c r="I101" s="67">
        <f t="shared" si="18"/>
        <v>0.65600000000000003</v>
      </c>
      <c r="J101" s="72" t="s">
        <v>16</v>
      </c>
      <c r="K101" s="73" t="s">
        <v>16</v>
      </c>
    </row>
    <row r="102" spans="3:12" s="1" customFormat="1" x14ac:dyDescent="0.3">
      <c r="C102" s="1">
        <v>1337</v>
      </c>
      <c r="D102" s="3">
        <v>-2160.4160000000002</v>
      </c>
      <c r="E102" s="3">
        <v>21.825051106464699</v>
      </c>
      <c r="F102" s="70">
        <f>260/1000</f>
        <v>0.26</v>
      </c>
      <c r="G102" s="9">
        <v>-2655.9209999999998</v>
      </c>
      <c r="H102" s="9">
        <v>20.710883115850901</v>
      </c>
      <c r="I102" s="64">
        <f>152/1000</f>
        <v>0.152</v>
      </c>
      <c r="J102" s="78">
        <f t="shared" ref="J102:J104" si="19">(D102-G102)/D102</f>
        <v>-0.22935629064032095</v>
      </c>
      <c r="K102" s="79">
        <f t="shared" ref="K102:K104" si="20">I102-F102</f>
        <v>-0.10800000000000001</v>
      </c>
      <c r="L102" s="1" t="s">
        <v>51</v>
      </c>
    </row>
    <row r="103" spans="3:12" s="1" customFormat="1" x14ac:dyDescent="0.3">
      <c r="C103" s="1">
        <v>2337</v>
      </c>
      <c r="D103" s="3">
        <v>-2240.3919999999998</v>
      </c>
      <c r="E103" s="3">
        <v>22.213475253071401</v>
      </c>
      <c r="F103" s="70">
        <f>190/1000</f>
        <v>0.19</v>
      </c>
      <c r="G103" s="9">
        <v>-2500.0210000000002</v>
      </c>
      <c r="H103" s="9">
        <v>21.3858647655588</v>
      </c>
      <c r="I103" s="64">
        <f>267/1000</f>
        <v>0.26700000000000002</v>
      </c>
      <c r="J103" s="78">
        <f t="shared" si="19"/>
        <v>-0.1158855236047979</v>
      </c>
      <c r="K103" s="79">
        <f t="shared" si="20"/>
        <v>7.7000000000000013E-2</v>
      </c>
    </row>
    <row r="104" spans="3:12" s="1" customFormat="1" x14ac:dyDescent="0.3">
      <c r="C104" s="1">
        <v>3337</v>
      </c>
      <c r="D104" s="3">
        <v>-2411.2890000000002</v>
      </c>
      <c r="E104" s="3">
        <v>22.717114931033599</v>
      </c>
      <c r="F104" s="70">
        <f>256/1000</f>
        <v>0.25600000000000001</v>
      </c>
      <c r="G104" s="9">
        <v>-2403.5830000000001</v>
      </c>
      <c r="H104" s="9">
        <v>21.262120517010501</v>
      </c>
      <c r="I104" s="64">
        <f>216/1000</f>
        <v>0.216</v>
      </c>
      <c r="J104" s="78">
        <f t="shared" si="19"/>
        <v>3.1958010839845952E-3</v>
      </c>
      <c r="K104" s="79">
        <f t="shared" si="20"/>
        <v>-4.0000000000000008E-2</v>
      </c>
    </row>
    <row r="105" spans="3:12" s="60" customFormat="1" x14ac:dyDescent="0.3">
      <c r="C105" s="60" t="s">
        <v>11</v>
      </c>
      <c r="D105" s="61">
        <f t="shared" ref="D105" si="21">AVERAGE(D102:D104)</f>
        <v>-2270.6990000000001</v>
      </c>
      <c r="E105" s="61">
        <f t="shared" ref="E105" si="22">AVERAGE(E102:E104)</f>
        <v>22.2518804301899</v>
      </c>
      <c r="F105" s="71">
        <f t="shared" ref="F105" si="23">AVERAGE(F102:F104)</f>
        <v>0.23533333333333331</v>
      </c>
      <c r="G105" s="65">
        <f t="shared" ref="G105" si="24">AVERAGE(G102:G104)</f>
        <v>-2519.8416666666667</v>
      </c>
      <c r="H105" s="65">
        <f t="shared" ref="H105" si="25">AVERAGE(H102:H104)</f>
        <v>21.119622799473401</v>
      </c>
      <c r="I105" s="67">
        <f t="shared" ref="I105" si="26">AVERAGE(I102:I104)</f>
        <v>0.21166666666666667</v>
      </c>
      <c r="J105" s="72">
        <f t="shared" ref="J105" si="27">AVERAGE(J102:J104)</f>
        <v>-0.11401533772037808</v>
      </c>
      <c r="K105" s="73">
        <f t="shared" ref="K105" si="28">AVERAGE(K102:K104)</f>
        <v>-2.3666666666666669E-2</v>
      </c>
    </row>
    <row r="106" spans="3:12" s="60" customFormat="1" x14ac:dyDescent="0.3">
      <c r="C106" s="60">
        <v>1337</v>
      </c>
      <c r="D106" s="61">
        <v>-2144.6849999999999</v>
      </c>
      <c r="E106" s="61">
        <v>20.922164437259799</v>
      </c>
      <c r="F106" s="71">
        <f>253/1000</f>
        <v>0.253</v>
      </c>
      <c r="G106" s="65">
        <v>-2235.7930000000001</v>
      </c>
      <c r="H106" s="65">
        <v>21.5181011436378</v>
      </c>
      <c r="I106" s="67">
        <f>242/1000</f>
        <v>0.24199999999999999</v>
      </c>
      <c r="J106" s="72">
        <f t="shared" ref="J106:J108" si="29">(D106-G106)/D106</f>
        <v>-4.2480830518234695E-2</v>
      </c>
      <c r="K106" s="73">
        <f t="shared" ref="K106:K108" si="30">I106-F106</f>
        <v>-1.100000000000001E-2</v>
      </c>
      <c r="L106" s="60" t="s">
        <v>54</v>
      </c>
    </row>
    <row r="107" spans="3:12" s="60" customFormat="1" x14ac:dyDescent="0.3">
      <c r="C107" s="60">
        <v>2337</v>
      </c>
      <c r="D107" s="61">
        <v>-2235.7930000000001</v>
      </c>
      <c r="E107" s="61">
        <v>21.5181011436378</v>
      </c>
      <c r="F107" s="71">
        <f>242/1000</f>
        <v>0.24199999999999999</v>
      </c>
      <c r="G107" s="65">
        <v>-2534.2130000000002</v>
      </c>
      <c r="H107" s="65">
        <v>22.490205801370202</v>
      </c>
      <c r="I107" s="67">
        <f>238/1000</f>
        <v>0.23799999999999999</v>
      </c>
      <c r="J107" s="72">
        <f t="shared" si="29"/>
        <v>-0.13347389494465725</v>
      </c>
      <c r="K107" s="73">
        <f t="shared" si="30"/>
        <v>-4.0000000000000036E-3</v>
      </c>
    </row>
    <row r="108" spans="3:12" s="60" customFormat="1" x14ac:dyDescent="0.3">
      <c r="C108" s="60">
        <v>3337</v>
      </c>
      <c r="D108" s="61">
        <v>-2427.1849999999999</v>
      </c>
      <c r="E108" s="61">
        <v>21.844531909595801</v>
      </c>
      <c r="F108" s="71">
        <f>221/1000</f>
        <v>0.221</v>
      </c>
      <c r="G108" s="65">
        <v>-2341.8629999999998</v>
      </c>
      <c r="H108" s="65">
        <v>22.338318663491901</v>
      </c>
      <c r="I108" s="67">
        <f>241/1000</f>
        <v>0.24099999999999999</v>
      </c>
      <c r="J108" s="72">
        <f t="shared" si="29"/>
        <v>3.5152656266415672E-2</v>
      </c>
      <c r="K108" s="73">
        <f t="shared" si="30"/>
        <v>1.999999999999999E-2</v>
      </c>
    </row>
    <row r="109" spans="3:12" s="60" customFormat="1" x14ac:dyDescent="0.3">
      <c r="C109" s="60" t="s">
        <v>11</v>
      </c>
      <c r="D109" s="61"/>
      <c r="E109" s="61"/>
      <c r="F109" s="71"/>
      <c r="G109" s="65"/>
      <c r="H109" s="65"/>
      <c r="I109" s="67"/>
      <c r="J109" s="72">
        <f t="shared" ref="J109" si="31">AVERAGE(J106:J108)</f>
        <v>-4.6934023065492096E-2</v>
      </c>
      <c r="K109" s="73">
        <f t="shared" ref="K109" si="32">AVERAGE(K106:K108)</f>
        <v>1.666666666666659E-3</v>
      </c>
    </row>
    <row r="110" spans="3:12" s="1" customFormat="1" x14ac:dyDescent="0.3">
      <c r="C110" s="1">
        <v>1337</v>
      </c>
      <c r="D110" s="3"/>
      <c r="E110" s="3"/>
      <c r="F110" s="70"/>
      <c r="G110" s="9">
        <v>-2574.3240000000001</v>
      </c>
      <c r="H110" s="9">
        <v>23.8397833525033</v>
      </c>
      <c r="I110" s="64">
        <f>387/1000</f>
        <v>0.38700000000000001</v>
      </c>
      <c r="J110" s="78"/>
      <c r="K110" s="79"/>
      <c r="L110" s="1" t="s">
        <v>52</v>
      </c>
    </row>
    <row r="111" spans="3:12" s="1" customFormat="1" x14ac:dyDescent="0.3">
      <c r="C111" s="1">
        <v>2337</v>
      </c>
      <c r="D111" s="3"/>
      <c r="E111" s="3"/>
      <c r="F111" s="70"/>
      <c r="G111" s="9">
        <v>-2511.4369999999999</v>
      </c>
      <c r="H111" s="9">
        <v>22.7752893249423</v>
      </c>
      <c r="I111" s="64">
        <f>260/1000</f>
        <v>0.26</v>
      </c>
      <c r="J111" s="78"/>
      <c r="K111" s="79"/>
    </row>
    <row r="112" spans="3:12" s="1" customFormat="1" x14ac:dyDescent="0.3">
      <c r="C112" s="1">
        <v>3337</v>
      </c>
      <c r="D112" s="3"/>
      <c r="E112" s="3"/>
      <c r="F112" s="70"/>
      <c r="G112" s="9">
        <v>-2696.6320000000001</v>
      </c>
      <c r="H112" s="9">
        <v>21.106224515277201</v>
      </c>
      <c r="I112" s="64">
        <f>202/1000</f>
        <v>0.20200000000000001</v>
      </c>
      <c r="J112" s="78"/>
      <c r="K112" s="79"/>
    </row>
    <row r="113" spans="3:12" s="60" customFormat="1" x14ac:dyDescent="0.3">
      <c r="C113" s="60" t="s">
        <v>11</v>
      </c>
      <c r="D113" s="61"/>
      <c r="E113" s="61"/>
      <c r="F113" s="71"/>
      <c r="G113" s="65">
        <f>AVERAGE(G110:G112)</f>
        <v>-2594.1309999999999</v>
      </c>
      <c r="H113" s="65">
        <f t="shared" ref="H113:I113" si="33">AVERAGE(H110:H112)</f>
        <v>22.573765730907599</v>
      </c>
      <c r="I113" s="67">
        <f t="shared" si="33"/>
        <v>0.28299999999999997</v>
      </c>
      <c r="J113" s="72"/>
      <c r="K113" s="73"/>
    </row>
    <row r="114" spans="3:12" s="60" customFormat="1" x14ac:dyDescent="0.3">
      <c r="C114" s="60">
        <v>1337</v>
      </c>
      <c r="D114" s="61"/>
      <c r="E114" s="61"/>
      <c r="F114" s="71"/>
      <c r="G114" s="65">
        <v>-2419.1350000000002</v>
      </c>
      <c r="H114" s="65">
        <v>22.527504060907699</v>
      </c>
      <c r="I114" s="67">
        <f>219/1000</f>
        <v>0.219</v>
      </c>
      <c r="J114" s="72"/>
      <c r="K114" s="73"/>
      <c r="L114" s="60" t="s">
        <v>55</v>
      </c>
    </row>
    <row r="115" spans="3:12" s="60" customFormat="1" x14ac:dyDescent="0.3">
      <c r="C115" s="60">
        <v>2337</v>
      </c>
      <c r="D115" s="61"/>
      <c r="E115" s="61"/>
      <c r="F115" s="71"/>
      <c r="G115" s="65">
        <v>-2337.1759999999999</v>
      </c>
      <c r="H115" s="65">
        <v>21.304268278231699</v>
      </c>
      <c r="I115" s="67">
        <f>255/1000</f>
        <v>0.255</v>
      </c>
      <c r="J115" s="72"/>
      <c r="K115" s="73"/>
    </row>
    <row r="116" spans="3:12" s="60" customFormat="1" x14ac:dyDescent="0.3">
      <c r="C116" s="60">
        <v>3337</v>
      </c>
      <c r="D116" s="61"/>
      <c r="E116" s="61"/>
      <c r="F116" s="71"/>
      <c r="G116" s="65">
        <v>-2482.7739999999999</v>
      </c>
      <c r="H116" s="65">
        <v>22.368670195841499</v>
      </c>
      <c r="I116" s="67">
        <f>243/1000</f>
        <v>0.24299999999999999</v>
      </c>
      <c r="J116" s="72"/>
      <c r="K116" s="73"/>
    </row>
    <row r="117" spans="3:12" s="60" customFormat="1" x14ac:dyDescent="0.3">
      <c r="C117" s="60" t="s">
        <v>11</v>
      </c>
      <c r="D117" s="61"/>
      <c r="E117" s="61"/>
      <c r="F117" s="71"/>
      <c r="G117" s="65">
        <f>AVERAGE(G114:G116)</f>
        <v>-2413.0283333333332</v>
      </c>
      <c r="H117" s="65">
        <f t="shared" ref="H117:I117" si="34">AVERAGE(H114:H116)</f>
        <v>22.066814178326965</v>
      </c>
      <c r="I117" s="81">
        <f t="shared" si="34"/>
        <v>0.23899999999999999</v>
      </c>
      <c r="J117" s="72"/>
      <c r="K117" s="73"/>
    </row>
    <row r="118" spans="3:12" s="1" customFormat="1" x14ac:dyDescent="0.3">
      <c r="C118" s="1">
        <v>1337</v>
      </c>
      <c r="D118" s="3" t="s">
        <v>77</v>
      </c>
      <c r="E118" s="3"/>
      <c r="F118" s="70"/>
      <c r="G118" s="9">
        <v>-2202.819</v>
      </c>
      <c r="H118" s="9">
        <v>20.4715299813858</v>
      </c>
      <c r="I118" s="82">
        <f>306/1000</f>
        <v>0.30599999999999999</v>
      </c>
      <c r="J118" s="78"/>
      <c r="K118" s="79"/>
      <c r="L118" s="1" t="s">
        <v>71</v>
      </c>
    </row>
    <row r="119" spans="3:12" s="1" customFormat="1" x14ac:dyDescent="0.3">
      <c r="C119" s="1">
        <v>2337</v>
      </c>
      <c r="D119" s="3"/>
      <c r="E119" s="3"/>
      <c r="F119" s="70"/>
      <c r="G119" s="9">
        <v>-2519.1309999999999</v>
      </c>
      <c r="H119" s="9">
        <v>22.220679837742299</v>
      </c>
      <c r="I119" s="82">
        <f>273/1000</f>
        <v>0.27300000000000002</v>
      </c>
      <c r="J119" s="78"/>
      <c r="K119" s="79"/>
    </row>
    <row r="120" spans="3:12" s="1" customFormat="1" x14ac:dyDescent="0.3">
      <c r="C120" s="1">
        <v>3337</v>
      </c>
      <c r="D120" s="3"/>
      <c r="E120" s="3"/>
      <c r="F120" s="70"/>
      <c r="G120" s="9">
        <v>-2119.2570000000001</v>
      </c>
      <c r="H120" s="9">
        <v>21.354850751096301</v>
      </c>
      <c r="I120" s="82">
        <f>581/1000</f>
        <v>0.58099999999999996</v>
      </c>
      <c r="J120" s="78"/>
      <c r="K120" s="79"/>
    </row>
    <row r="121" spans="3:12" s="60" customFormat="1" x14ac:dyDescent="0.3">
      <c r="C121" s="60" t="s">
        <v>11</v>
      </c>
      <c r="D121" s="61"/>
      <c r="E121" s="61"/>
      <c r="F121" s="71"/>
      <c r="G121" s="65">
        <f>AVERAGE(G118:G120)</f>
        <v>-2280.4023333333334</v>
      </c>
      <c r="H121" s="65">
        <f t="shared" ref="H121" si="35">AVERAGE(H118:H120)</f>
        <v>21.3490201900748</v>
      </c>
      <c r="I121" s="81">
        <f t="shared" ref="I121" si="36">AVERAGE(I118:I120)</f>
        <v>0.38666666666666666</v>
      </c>
      <c r="J121" s="72"/>
      <c r="K121" s="73"/>
    </row>
    <row r="122" spans="3:12" s="1" customFormat="1" x14ac:dyDescent="0.3">
      <c r="C122" s="1">
        <v>1337</v>
      </c>
      <c r="D122" s="3"/>
      <c r="E122" s="3"/>
      <c r="F122" s="70"/>
      <c r="G122" s="9">
        <v>-2147.5839999999998</v>
      </c>
      <c r="H122" s="9">
        <v>21.2004896099996</v>
      </c>
      <c r="I122" s="82">
        <f>241/1000</f>
        <v>0.24099999999999999</v>
      </c>
      <c r="J122" s="78"/>
      <c r="K122" s="79"/>
      <c r="L122" s="1" t="s">
        <v>66</v>
      </c>
    </row>
    <row r="123" spans="3:12" s="1" customFormat="1" x14ac:dyDescent="0.3">
      <c r="C123" s="1">
        <v>2337</v>
      </c>
      <c r="D123" s="3"/>
      <c r="E123" s="3"/>
      <c r="F123" s="70"/>
      <c r="G123" s="9">
        <v>-2528.616</v>
      </c>
      <c r="H123" s="9">
        <v>23.2824010949202</v>
      </c>
      <c r="I123" s="82">
        <f>326/1000</f>
        <v>0.32600000000000001</v>
      </c>
      <c r="J123" s="78"/>
      <c r="K123" s="79"/>
    </row>
    <row r="124" spans="3:12" s="1" customFormat="1" x14ac:dyDescent="0.3">
      <c r="C124" s="1">
        <v>3337</v>
      </c>
      <c r="D124" s="3"/>
      <c r="E124" s="3"/>
      <c r="F124" s="70"/>
      <c r="G124" s="9">
        <v>-2464.1489999999999</v>
      </c>
      <c r="H124" s="9">
        <v>20.364171386905799</v>
      </c>
      <c r="I124" s="82">
        <f>731/1000</f>
        <v>0.73099999999999998</v>
      </c>
      <c r="J124" s="78"/>
      <c r="K124" s="79"/>
    </row>
    <row r="125" spans="3:12" s="60" customFormat="1" x14ac:dyDescent="0.3">
      <c r="C125" s="60" t="s">
        <v>11</v>
      </c>
      <c r="D125" s="61"/>
      <c r="E125" s="61"/>
      <c r="F125" s="71"/>
      <c r="G125" s="65">
        <f>AVERAGE(G122:G124)</f>
        <v>-2380.1163333333334</v>
      </c>
      <c r="H125" s="65">
        <f t="shared" ref="H125" si="37">AVERAGE(H122:H124)</f>
        <v>21.615687363941863</v>
      </c>
      <c r="I125" s="81">
        <f t="shared" ref="I125" si="38">AVERAGE(I122:I124)</f>
        <v>0.4326666666666667</v>
      </c>
      <c r="J125" s="72"/>
      <c r="K125" s="73"/>
    </row>
    <row r="126" spans="3:12" s="1" customFormat="1" x14ac:dyDescent="0.3">
      <c r="C126" s="1">
        <v>1337</v>
      </c>
      <c r="D126" s="3"/>
      <c r="E126" s="3"/>
      <c r="F126" s="70"/>
      <c r="G126" s="9">
        <v>-2180.4609999999998</v>
      </c>
      <c r="H126" s="9">
        <v>21.860458323583099</v>
      </c>
      <c r="I126" s="82">
        <f>199/1000</f>
        <v>0.19900000000000001</v>
      </c>
      <c r="J126" s="78"/>
      <c r="K126" s="79"/>
      <c r="L126" s="1" t="s">
        <v>79</v>
      </c>
    </row>
    <row r="127" spans="3:12" s="1" customFormat="1" x14ac:dyDescent="0.3">
      <c r="C127" s="1">
        <v>2337</v>
      </c>
      <c r="D127" s="3"/>
      <c r="E127" s="3"/>
      <c r="F127" s="70"/>
      <c r="G127" s="9">
        <v>-2221.9270000000001</v>
      </c>
      <c r="H127" s="9">
        <v>21.595428502421601</v>
      </c>
      <c r="I127" s="82">
        <f>172/1000</f>
        <v>0.17199999999999999</v>
      </c>
      <c r="J127" s="78"/>
      <c r="K127" s="79"/>
    </row>
    <row r="128" spans="3:12" s="1" customFormat="1" x14ac:dyDescent="0.3">
      <c r="C128" s="1">
        <v>3337</v>
      </c>
      <c r="D128" s="3"/>
      <c r="E128" s="3"/>
      <c r="F128" s="70"/>
      <c r="G128" s="9">
        <v>-2385.0639999999999</v>
      </c>
      <c r="H128" s="9">
        <v>22.261458677419199</v>
      </c>
      <c r="I128" s="82">
        <f>194/1000</f>
        <v>0.19400000000000001</v>
      </c>
      <c r="J128" s="78"/>
      <c r="K128" s="79"/>
    </row>
    <row r="129" spans="1:12" s="60" customFormat="1" x14ac:dyDescent="0.3">
      <c r="C129" s="60" t="s">
        <v>11</v>
      </c>
      <c r="D129" s="61"/>
      <c r="E129" s="61"/>
      <c r="F129" s="71"/>
      <c r="G129" s="65">
        <f t="shared" ref="G129:I129" si="39">AVERAGE(G126:G128)</f>
        <v>-2262.4839999999999</v>
      </c>
      <c r="H129" s="65">
        <f t="shared" si="39"/>
        <v>21.905781834474634</v>
      </c>
      <c r="I129" s="81">
        <f t="shared" si="39"/>
        <v>0.18833333333333332</v>
      </c>
      <c r="J129" s="72"/>
      <c r="K129" s="73"/>
    </row>
    <row r="130" spans="1:12" s="1" customFormat="1" x14ac:dyDescent="0.3">
      <c r="C130" s="1">
        <v>1337</v>
      </c>
      <c r="D130" s="3"/>
      <c r="E130" s="3"/>
      <c r="F130" s="70"/>
      <c r="G130" s="9">
        <v>-2275.2890000000002</v>
      </c>
      <c r="H130" s="9">
        <v>23.0522550728327</v>
      </c>
      <c r="I130" s="82">
        <f>331/1000</f>
        <v>0.33100000000000002</v>
      </c>
      <c r="J130" s="78"/>
      <c r="K130" s="79"/>
      <c r="L130" s="1" t="s">
        <v>81</v>
      </c>
    </row>
    <row r="131" spans="1:12" s="1" customFormat="1" x14ac:dyDescent="0.3">
      <c r="C131" s="1">
        <v>2337</v>
      </c>
      <c r="D131" s="3"/>
      <c r="E131" s="3"/>
      <c r="F131" s="70"/>
      <c r="G131" s="9">
        <v>-2512.98</v>
      </c>
      <c r="H131" s="9">
        <v>21.8953438813754</v>
      </c>
      <c r="I131" s="82">
        <f>335/1000</f>
        <v>0.33500000000000002</v>
      </c>
      <c r="J131" s="78"/>
      <c r="K131" s="79"/>
    </row>
    <row r="132" spans="1:12" s="1" customFormat="1" x14ac:dyDescent="0.3">
      <c r="C132" s="1">
        <v>3337</v>
      </c>
      <c r="D132" s="3"/>
      <c r="E132" s="3"/>
      <c r="F132" s="70"/>
      <c r="G132" s="9">
        <v>-2071.8470000000002</v>
      </c>
      <c r="H132" s="9">
        <v>19.7211871552859</v>
      </c>
      <c r="I132" s="82">
        <f xml:space="preserve"> 565/1000</f>
        <v>0.56499999999999995</v>
      </c>
      <c r="J132" s="78"/>
      <c r="K132" s="79"/>
    </row>
    <row r="133" spans="1:12" s="60" customFormat="1" x14ac:dyDescent="0.3">
      <c r="C133" s="60" t="s">
        <v>11</v>
      </c>
      <c r="D133" s="61"/>
      <c r="E133" s="61"/>
      <c r="F133" s="71"/>
      <c r="G133" s="65">
        <f>AVERAGE(G130:G132)</f>
        <v>-2286.7053333333333</v>
      </c>
      <c r="H133" s="65">
        <f t="shared" ref="H133:I133" si="40">AVERAGE(H130:H132)</f>
        <v>21.556262036498001</v>
      </c>
      <c r="I133" s="81">
        <f t="shared" si="40"/>
        <v>0.41033333333333327</v>
      </c>
      <c r="J133" s="72"/>
      <c r="K133" s="73"/>
    </row>
    <row r="134" spans="1:12" s="60" customFormat="1" ht="43.2" x14ac:dyDescent="0.3">
      <c r="A134" s="60" t="s">
        <v>28</v>
      </c>
      <c r="B134" s="66" t="s">
        <v>41</v>
      </c>
      <c r="C134" s="60">
        <v>1337</v>
      </c>
      <c r="D134" s="60">
        <v>-51.978999999999999</v>
      </c>
      <c r="E134" s="60">
        <v>0.53562809528296396</v>
      </c>
      <c r="F134" s="67">
        <f>54/1000</f>
        <v>5.3999999999999999E-2</v>
      </c>
      <c r="G134" s="60">
        <v>-73.838999999999999</v>
      </c>
      <c r="H134" s="60">
        <v>0.50154424094552696</v>
      </c>
      <c r="I134" s="67">
        <f>6/1000</f>
        <v>6.0000000000000001E-3</v>
      </c>
      <c r="J134" s="68">
        <f t="shared" si="1"/>
        <v>-0.42055445468362224</v>
      </c>
      <c r="K134" s="69">
        <f t="shared" si="2"/>
        <v>-4.8000000000000001E-2</v>
      </c>
      <c r="L134" s="60" t="s">
        <v>38</v>
      </c>
    </row>
    <row r="135" spans="1:12" s="60" customFormat="1" x14ac:dyDescent="0.3">
      <c r="B135" s="60" t="s">
        <v>40</v>
      </c>
      <c r="C135" s="60">
        <v>2337</v>
      </c>
      <c r="D135" s="60">
        <v>-61.625999999999998</v>
      </c>
      <c r="E135" s="60">
        <v>0.54712289978346496</v>
      </c>
      <c r="F135" s="67">
        <f>11/1000</f>
        <v>1.0999999999999999E-2</v>
      </c>
      <c r="G135" s="60">
        <v>-65.808999999999997</v>
      </c>
      <c r="H135" s="60">
        <v>0.52828363840138204</v>
      </c>
      <c r="I135" s="67">
        <f>14/1000</f>
        <v>1.4E-2</v>
      </c>
      <c r="J135" s="68">
        <f t="shared" si="1"/>
        <v>-6.7877194690552686E-2</v>
      </c>
      <c r="K135" s="69">
        <f t="shared" si="2"/>
        <v>3.0000000000000009E-3</v>
      </c>
    </row>
    <row r="136" spans="1:12" s="60" customFormat="1" x14ac:dyDescent="0.3">
      <c r="C136" s="60">
        <v>3337</v>
      </c>
      <c r="D136" s="60">
        <v>-62.470999999999997</v>
      </c>
      <c r="E136" s="60">
        <v>0.58139761109087995</v>
      </c>
      <c r="F136" s="67">
        <f>60/1000</f>
        <v>0.06</v>
      </c>
      <c r="G136" s="60">
        <v>-65.608999999999995</v>
      </c>
      <c r="H136" s="60">
        <v>0.53592661469303404</v>
      </c>
      <c r="I136" s="67">
        <f>16/1000</f>
        <v>1.6E-2</v>
      </c>
      <c r="J136" s="68">
        <f t="shared" si="1"/>
        <v>-5.0231307326599514E-2</v>
      </c>
      <c r="K136" s="69">
        <f t="shared" si="2"/>
        <v>-4.3999999999999997E-2</v>
      </c>
    </row>
    <row r="137" spans="1:12" s="60" customFormat="1" x14ac:dyDescent="0.3">
      <c r="C137" s="60" t="s">
        <v>11</v>
      </c>
      <c r="D137" s="60">
        <f t="shared" ref="D137:I137" si="41">AVERAGE(D134:D136)</f>
        <v>-58.692</v>
      </c>
      <c r="E137" s="60">
        <f t="shared" si="41"/>
        <v>0.55471620205243621</v>
      </c>
      <c r="F137" s="67">
        <f t="shared" si="41"/>
        <v>4.1666666666666664E-2</v>
      </c>
      <c r="G137" s="60">
        <f t="shared" si="41"/>
        <v>-68.418999999999997</v>
      </c>
      <c r="H137" s="60">
        <f t="shared" si="41"/>
        <v>0.52191816467998109</v>
      </c>
      <c r="I137" s="67">
        <f t="shared" si="41"/>
        <v>1.2000000000000002E-2</v>
      </c>
      <c r="J137" s="68">
        <f t="shared" si="1"/>
        <v>-0.16572957132147476</v>
      </c>
      <c r="K137" s="69">
        <f t="shared" si="2"/>
        <v>-2.9666666666666661E-2</v>
      </c>
    </row>
    <row r="138" spans="1:12" s="60" customFormat="1" x14ac:dyDescent="0.3">
      <c r="C138" s="60">
        <v>1337</v>
      </c>
      <c r="D138" s="60">
        <v>-52.436</v>
      </c>
      <c r="E138" s="60">
        <v>0.53377600247746304</v>
      </c>
      <c r="F138" s="67">
        <f>18/1000</f>
        <v>1.7999999999999999E-2</v>
      </c>
      <c r="G138" s="60">
        <v>-75.460999999999999</v>
      </c>
      <c r="H138" s="60">
        <v>0.52964422209819495</v>
      </c>
      <c r="I138" s="67">
        <f>14/1000</f>
        <v>1.4E-2</v>
      </c>
      <c r="J138" s="68">
        <f t="shared" ref="J138:J141" si="42">(D138-G138)/D138</f>
        <v>-0.43910672057365169</v>
      </c>
      <c r="K138" s="69">
        <f t="shared" ref="K138:K141" si="43">I138-F138</f>
        <v>-3.9999999999999983E-3</v>
      </c>
      <c r="L138" s="60" t="s">
        <v>44</v>
      </c>
    </row>
    <row r="139" spans="1:12" s="60" customFormat="1" x14ac:dyDescent="0.3">
      <c r="C139" s="60">
        <v>2337</v>
      </c>
      <c r="D139" s="60">
        <v>-64.263000000000005</v>
      </c>
      <c r="E139" s="60">
        <v>0.543506421517014</v>
      </c>
      <c r="F139" s="67">
        <f>16/1000</f>
        <v>1.6E-2</v>
      </c>
      <c r="G139" s="60">
        <v>-68.879000000000005</v>
      </c>
      <c r="H139" s="60">
        <v>0.53162108684661802</v>
      </c>
      <c r="I139" s="67">
        <f>15/1000</f>
        <v>1.4999999999999999E-2</v>
      </c>
      <c r="J139" s="68">
        <f t="shared" si="42"/>
        <v>-7.1829824315702645E-2</v>
      </c>
      <c r="K139" s="69">
        <f t="shared" si="43"/>
        <v>-1.0000000000000009E-3</v>
      </c>
    </row>
    <row r="140" spans="1:12" s="60" customFormat="1" x14ac:dyDescent="0.3">
      <c r="C140" s="60">
        <v>3337</v>
      </c>
      <c r="D140" s="60">
        <v>-57.97</v>
      </c>
      <c r="E140" s="60">
        <v>0.53524348252508902</v>
      </c>
      <c r="F140" s="67">
        <f>16/1000</f>
        <v>1.6E-2</v>
      </c>
      <c r="G140" s="60">
        <v>-71.373000000000005</v>
      </c>
      <c r="H140" s="60">
        <v>0.548431078302139</v>
      </c>
      <c r="I140" s="67">
        <f>16/1000</f>
        <v>1.6E-2</v>
      </c>
      <c r="J140" s="68">
        <f t="shared" si="42"/>
        <v>-0.23120579610143188</v>
      </c>
      <c r="K140" s="69">
        <f t="shared" si="43"/>
        <v>0</v>
      </c>
    </row>
    <row r="141" spans="1:12" s="60" customFormat="1" x14ac:dyDescent="0.3">
      <c r="C141" s="60" t="s">
        <v>11</v>
      </c>
      <c r="D141" s="60">
        <f t="shared" ref="D141" si="44">AVERAGE(D138:D140)</f>
        <v>-58.223000000000006</v>
      </c>
      <c r="E141" s="60">
        <f t="shared" ref="E141" si="45">AVERAGE(E138:E140)</f>
        <v>0.53750863550652206</v>
      </c>
      <c r="F141" s="67">
        <f t="shared" ref="F141" si="46">AVERAGE(F138:F140)</f>
        <v>1.6666666666666666E-2</v>
      </c>
      <c r="G141" s="60">
        <f t="shared" ref="G141" si="47">AVERAGE(G138:G140)</f>
        <v>-71.904333333333341</v>
      </c>
      <c r="H141" s="60">
        <f t="shared" ref="H141" si="48">AVERAGE(H138:H140)</f>
        <v>0.53656546241565062</v>
      </c>
      <c r="I141" s="67">
        <f t="shared" ref="I141" si="49">AVERAGE(I138:I140)</f>
        <v>1.4999999999999999E-2</v>
      </c>
      <c r="J141" s="68">
        <f t="shared" si="42"/>
        <v>-0.23498159375733529</v>
      </c>
      <c r="K141" s="69">
        <f t="shared" si="43"/>
        <v>-1.666666666666667E-3</v>
      </c>
    </row>
    <row r="142" spans="1:12" s="60" customFormat="1" x14ac:dyDescent="0.3">
      <c r="C142" s="60">
        <v>1337</v>
      </c>
      <c r="D142" s="77" t="s">
        <v>16</v>
      </c>
      <c r="E142" s="77" t="s">
        <v>16</v>
      </c>
      <c r="F142" s="71" t="s">
        <v>16</v>
      </c>
      <c r="G142" s="60">
        <v>-76.769000000000005</v>
      </c>
      <c r="H142" s="60">
        <v>0.54339572865262498</v>
      </c>
      <c r="I142" s="67">
        <f>2/1000</f>
        <v>2E-3</v>
      </c>
      <c r="J142" s="72" t="s">
        <v>16</v>
      </c>
      <c r="K142" s="73" t="s">
        <v>16</v>
      </c>
      <c r="L142" s="60" t="s">
        <v>43</v>
      </c>
    </row>
    <row r="143" spans="1:12" s="60" customFormat="1" x14ac:dyDescent="0.3">
      <c r="C143" s="60">
        <v>2337</v>
      </c>
      <c r="D143" s="77" t="s">
        <v>16</v>
      </c>
      <c r="E143" s="77" t="s">
        <v>16</v>
      </c>
      <c r="F143" s="71" t="s">
        <v>16</v>
      </c>
      <c r="G143" s="60">
        <v>-73.777000000000001</v>
      </c>
      <c r="H143" s="60">
        <v>0.49982706819268802</v>
      </c>
      <c r="I143" s="67">
        <f>16/1000</f>
        <v>1.6E-2</v>
      </c>
      <c r="J143" s="72" t="s">
        <v>16</v>
      </c>
      <c r="K143" s="73" t="s">
        <v>16</v>
      </c>
    </row>
    <row r="144" spans="1:12" s="60" customFormat="1" x14ac:dyDescent="0.3">
      <c r="C144" s="60">
        <v>3337</v>
      </c>
      <c r="D144" s="77" t="s">
        <v>16</v>
      </c>
      <c r="E144" s="77" t="s">
        <v>16</v>
      </c>
      <c r="F144" s="71" t="s">
        <v>16</v>
      </c>
      <c r="G144" s="60">
        <v>-81.614999999999995</v>
      </c>
      <c r="H144" s="60">
        <v>0.55280952720930299</v>
      </c>
      <c r="I144" s="67">
        <f>14/1000</f>
        <v>1.4E-2</v>
      </c>
      <c r="J144" s="72" t="s">
        <v>16</v>
      </c>
      <c r="K144" s="73" t="s">
        <v>16</v>
      </c>
    </row>
    <row r="145" spans="3:12" s="60" customFormat="1" x14ac:dyDescent="0.3">
      <c r="C145" s="60" t="s">
        <v>11</v>
      </c>
      <c r="F145" s="67"/>
      <c r="G145" s="60">
        <f t="shared" ref="G145" si="50">AVERAGE(G142:G144)</f>
        <v>-77.387</v>
      </c>
      <c r="H145" s="60">
        <f t="shared" ref="H145" si="51">AVERAGE(H142:H144)</f>
        <v>0.53201077468487201</v>
      </c>
      <c r="I145" s="67">
        <f t="shared" ref="I145" si="52">AVERAGE(I142:I144)</f>
        <v>1.0666666666666666E-2</v>
      </c>
      <c r="J145" s="72" t="s">
        <v>16</v>
      </c>
      <c r="K145" s="73" t="s">
        <v>16</v>
      </c>
    </row>
    <row r="146" spans="3:12" s="1" customFormat="1" x14ac:dyDescent="0.3">
      <c r="C146" s="1">
        <v>1337</v>
      </c>
      <c r="D146" s="1">
        <v>-58.014000000000003</v>
      </c>
      <c r="E146" s="1">
        <v>0.53744269336241601</v>
      </c>
      <c r="F146" s="64">
        <f>11/1000</f>
        <v>1.0999999999999999E-2</v>
      </c>
      <c r="G146" s="1">
        <v>-76.430999999999997</v>
      </c>
      <c r="H146" s="1">
        <v>0.53273355821089696</v>
      </c>
      <c r="I146" s="64">
        <f>13/1000</f>
        <v>1.2999999999999999E-2</v>
      </c>
      <c r="J146" s="78">
        <f t="shared" ref="J146:J149" si="53">(D146-G146)/D146</f>
        <v>-0.31745785500051699</v>
      </c>
      <c r="K146" s="79">
        <f t="shared" ref="K146:K149" si="54">I146-F146</f>
        <v>2E-3</v>
      </c>
      <c r="L146" s="1" t="s">
        <v>49</v>
      </c>
    </row>
    <row r="147" spans="3:12" s="1" customFormat="1" x14ac:dyDescent="0.3">
      <c r="C147" s="1">
        <v>2337</v>
      </c>
      <c r="D147" s="1">
        <v>-57.457000000000001</v>
      </c>
      <c r="E147" s="1">
        <v>0.54784512892357196</v>
      </c>
      <c r="F147" s="64">
        <f>17/1000</f>
        <v>1.7000000000000001E-2</v>
      </c>
      <c r="G147" s="1">
        <v>-74.838999999999999</v>
      </c>
      <c r="H147" s="1">
        <v>0.532137434549806</v>
      </c>
      <c r="I147" s="64">
        <f>20/1000</f>
        <v>0.02</v>
      </c>
      <c r="J147" s="78">
        <f t="shared" si="53"/>
        <v>-0.30252188593208829</v>
      </c>
      <c r="K147" s="79">
        <f t="shared" si="54"/>
        <v>2.9999999999999992E-3</v>
      </c>
    </row>
    <row r="148" spans="3:12" s="1" customFormat="1" x14ac:dyDescent="0.3">
      <c r="C148" s="1">
        <v>3337</v>
      </c>
      <c r="D148" s="1">
        <v>-55.392000000000003</v>
      </c>
      <c r="E148" s="1">
        <v>0.53900172435610805</v>
      </c>
      <c r="F148" s="64">
        <f>20/1000</f>
        <v>0.02</v>
      </c>
      <c r="G148" s="1">
        <v>-72.177000000000007</v>
      </c>
      <c r="H148" s="1">
        <v>0.50713988391947795</v>
      </c>
      <c r="I148" s="64">
        <f>12/1000</f>
        <v>1.2E-2</v>
      </c>
      <c r="J148" s="78">
        <f t="shared" si="53"/>
        <v>-0.30302209705372624</v>
      </c>
      <c r="K148" s="79">
        <f t="shared" si="54"/>
        <v>-8.0000000000000002E-3</v>
      </c>
    </row>
    <row r="149" spans="3:12" s="60" customFormat="1" x14ac:dyDescent="0.3">
      <c r="C149" s="60" t="s">
        <v>11</v>
      </c>
      <c r="D149" s="61">
        <f t="shared" ref="D149" si="55">AVERAGE(D146:D148)</f>
        <v>-56.954333333333331</v>
      </c>
      <c r="E149" s="61">
        <f t="shared" ref="E149" si="56">AVERAGE(E146:E148)</f>
        <v>0.54142984888069867</v>
      </c>
      <c r="F149" s="71">
        <f t="shared" ref="F149" si="57">AVERAGE(F146:F148)</f>
        <v>1.6E-2</v>
      </c>
      <c r="G149" s="65">
        <f t="shared" ref="G149" si="58">AVERAGE(G146:G148)</f>
        <v>-74.48233333333333</v>
      </c>
      <c r="H149" s="65">
        <f t="shared" ref="H149" si="59">AVERAGE(H146:H148)</f>
        <v>0.5240036255600603</v>
      </c>
      <c r="I149" s="67">
        <f t="shared" ref="I149" si="60">AVERAGE(I146:I148)</f>
        <v>1.4999999999999999E-2</v>
      </c>
      <c r="J149" s="72">
        <f t="shared" si="53"/>
        <v>-0.30775533614650336</v>
      </c>
      <c r="K149" s="73">
        <f t="shared" si="54"/>
        <v>-1.0000000000000009E-3</v>
      </c>
    </row>
    <row r="150" spans="3:12" s="1" customFormat="1" x14ac:dyDescent="0.3">
      <c r="C150" s="1">
        <v>1337</v>
      </c>
      <c r="G150" s="1">
        <v>-82.850999999999999</v>
      </c>
      <c r="H150" s="1">
        <v>0.55128823469916099</v>
      </c>
      <c r="I150" s="64">
        <f>19/1000</f>
        <v>1.9E-2</v>
      </c>
      <c r="J150" s="78"/>
      <c r="K150" s="79"/>
      <c r="L150" s="1" t="s">
        <v>50</v>
      </c>
    </row>
    <row r="151" spans="3:12" s="1" customFormat="1" x14ac:dyDescent="0.3">
      <c r="C151" s="1">
        <v>2337</v>
      </c>
      <c r="F151" s="64"/>
      <c r="G151" s="1">
        <v>-98.525000000000006</v>
      </c>
      <c r="H151" s="1">
        <v>0.578821569578578</v>
      </c>
      <c r="I151" s="64">
        <f>29/1000</f>
        <v>2.9000000000000001E-2</v>
      </c>
      <c r="J151" s="78"/>
      <c r="K151" s="79"/>
    </row>
    <row r="152" spans="3:12" s="1" customFormat="1" x14ac:dyDescent="0.3">
      <c r="C152" s="1">
        <v>3337</v>
      </c>
      <c r="F152" s="64"/>
      <c r="G152" s="1">
        <v>-83.227000000000004</v>
      </c>
      <c r="H152" s="1">
        <v>0.54013258947615195</v>
      </c>
      <c r="I152" s="64">
        <f>17/1000</f>
        <v>1.7000000000000001E-2</v>
      </c>
      <c r="J152" s="78"/>
      <c r="K152" s="79"/>
    </row>
    <row r="153" spans="3:12" s="60" customFormat="1" x14ac:dyDescent="0.3">
      <c r="C153" s="60" t="s">
        <v>11</v>
      </c>
      <c r="F153" s="67"/>
      <c r="G153" s="60">
        <f t="shared" ref="G153" si="61">AVERAGE(G150:G152)</f>
        <v>-88.201000000000008</v>
      </c>
      <c r="H153" s="60">
        <f t="shared" ref="H153" si="62">AVERAGE(H150:H152)</f>
        <v>0.55674746458463031</v>
      </c>
      <c r="I153" s="67">
        <f t="shared" ref="I153" si="63">AVERAGE(I150:I152)</f>
        <v>2.1666666666666667E-2</v>
      </c>
      <c r="J153" s="72"/>
      <c r="K153" s="73"/>
    </row>
    <row r="154" spans="3:12" s="60" customFormat="1" x14ac:dyDescent="0.3">
      <c r="C154" s="60">
        <v>1337</v>
      </c>
      <c r="F154" s="67"/>
      <c r="I154" s="67"/>
      <c r="J154" s="72"/>
      <c r="K154" s="73"/>
      <c r="L154" s="60" t="s">
        <v>72</v>
      </c>
    </row>
    <row r="155" spans="3:12" s="60" customFormat="1" x14ac:dyDescent="0.3">
      <c r="C155" s="60">
        <v>2337</v>
      </c>
      <c r="F155" s="67"/>
      <c r="I155" s="67"/>
      <c r="J155" s="72"/>
      <c r="K155" s="73"/>
    </row>
    <row r="156" spans="3:12" s="60" customFormat="1" x14ac:dyDescent="0.3">
      <c r="C156" s="60">
        <v>3337</v>
      </c>
      <c r="F156" s="67"/>
      <c r="I156" s="67"/>
      <c r="J156" s="72"/>
      <c r="K156" s="73"/>
    </row>
    <row r="157" spans="3:12" s="60" customFormat="1" x14ac:dyDescent="0.3">
      <c r="C157" s="60" t="s">
        <v>11</v>
      </c>
      <c r="F157" s="67"/>
      <c r="I157" s="67"/>
      <c r="J157" s="72"/>
      <c r="K157" s="73"/>
    </row>
    <row r="158" spans="3:12" s="60" customFormat="1" x14ac:dyDescent="0.3">
      <c r="C158" s="60">
        <v>1337</v>
      </c>
      <c r="F158" s="67"/>
      <c r="I158" s="67"/>
      <c r="J158" s="72"/>
      <c r="K158" s="73"/>
      <c r="L158" s="60" t="s">
        <v>73</v>
      </c>
    </row>
    <row r="159" spans="3:12" s="60" customFormat="1" x14ac:dyDescent="0.3">
      <c r="C159" s="60">
        <v>2337</v>
      </c>
      <c r="F159" s="67"/>
      <c r="I159" s="67"/>
      <c r="J159" s="72"/>
      <c r="K159" s="73"/>
    </row>
    <row r="160" spans="3:12" s="60" customFormat="1" x14ac:dyDescent="0.3">
      <c r="C160" s="60">
        <v>3337</v>
      </c>
      <c r="F160" s="67"/>
      <c r="I160" s="67"/>
      <c r="J160" s="72"/>
      <c r="K160" s="73"/>
    </row>
    <row r="161" spans="1:12" s="60" customFormat="1" x14ac:dyDescent="0.3">
      <c r="C161" s="60" t="s">
        <v>11</v>
      </c>
      <c r="F161" s="67"/>
      <c r="I161" s="67"/>
      <c r="J161" s="72"/>
      <c r="K161" s="73"/>
    </row>
    <row r="162" spans="1:12" s="60" customFormat="1" x14ac:dyDescent="0.3">
      <c r="C162" s="60">
        <v>1337</v>
      </c>
      <c r="F162" s="67"/>
      <c r="G162" s="60">
        <v>-49.015000000000001</v>
      </c>
      <c r="H162" s="60">
        <v>0.52285002356999699</v>
      </c>
      <c r="I162" s="67">
        <f>11/1000</f>
        <v>1.0999999999999999E-2</v>
      </c>
      <c r="J162" s="72"/>
      <c r="K162" s="73"/>
    </row>
    <row r="163" spans="1:12" s="60" customFormat="1" x14ac:dyDescent="0.3">
      <c r="C163" s="60">
        <v>2337</v>
      </c>
      <c r="F163" s="67"/>
      <c r="G163" s="60">
        <v>-49.006</v>
      </c>
      <c r="H163" s="60">
        <v>0.53228121072163204</v>
      </c>
      <c r="I163" s="67">
        <f>7/1000</f>
        <v>7.0000000000000001E-3</v>
      </c>
      <c r="J163" s="72"/>
      <c r="K163" s="73"/>
    </row>
    <row r="164" spans="1:12" s="60" customFormat="1" x14ac:dyDescent="0.3">
      <c r="C164" s="60">
        <v>3337</v>
      </c>
      <c r="F164" s="67"/>
      <c r="G164" s="60">
        <v>-46.082000000000001</v>
      </c>
      <c r="H164" s="60">
        <v>0.53454936069461201</v>
      </c>
      <c r="I164" s="67">
        <f>14/1000</f>
        <v>1.4E-2</v>
      </c>
      <c r="J164" s="72"/>
      <c r="K164" s="73"/>
    </row>
    <row r="165" spans="1:12" s="60" customFormat="1" x14ac:dyDescent="0.3">
      <c r="C165" s="60" t="s">
        <v>11</v>
      </c>
      <c r="F165" s="67"/>
      <c r="G165" s="60">
        <f t="shared" ref="G165:I165" si="64">AVERAGE(G162:G164)</f>
        <v>-48.034333333333336</v>
      </c>
      <c r="H165" s="60">
        <f t="shared" si="64"/>
        <v>0.52989353166208042</v>
      </c>
      <c r="I165" s="67">
        <f t="shared" si="64"/>
        <v>1.0666666666666666E-2</v>
      </c>
      <c r="J165" s="72"/>
      <c r="K165" s="73"/>
    </row>
    <row r="166" spans="1:12" s="60" customFormat="1" ht="43.2" x14ac:dyDescent="0.3">
      <c r="A166" s="60" t="s">
        <v>28</v>
      </c>
      <c r="B166" s="66" t="s">
        <v>53</v>
      </c>
      <c r="C166" s="60">
        <v>1337</v>
      </c>
      <c r="D166" s="60">
        <v>-803.40800000000002</v>
      </c>
      <c r="E166" s="60">
        <v>6.7806343758190097</v>
      </c>
      <c r="F166" s="67">
        <f>41/1000</f>
        <v>4.1000000000000002E-2</v>
      </c>
      <c r="G166" s="60">
        <v>-784.02599999999995</v>
      </c>
      <c r="H166" s="60">
        <v>5.3810352967495803</v>
      </c>
      <c r="I166" s="67">
        <f>41/1000</f>
        <v>4.1000000000000002E-2</v>
      </c>
      <c r="J166" s="68">
        <f t="shared" ref="J166:J173" si="65">(D166-G166)/D166</f>
        <v>2.4124728655925833E-2</v>
      </c>
      <c r="K166" s="69">
        <f t="shared" ref="K166:K173" si="66">I166-F166</f>
        <v>0</v>
      </c>
      <c r="L166" s="60" t="s">
        <v>44</v>
      </c>
    </row>
    <row r="167" spans="1:12" s="60" customFormat="1" x14ac:dyDescent="0.3">
      <c r="B167" s="60" t="s">
        <v>32</v>
      </c>
      <c r="C167" s="60">
        <v>2337</v>
      </c>
      <c r="D167" s="60">
        <v>-790.04899999999998</v>
      </c>
      <c r="E167" s="60">
        <v>5.5631422011440703</v>
      </c>
      <c r="F167" s="67">
        <f>36/1000</f>
        <v>3.5999999999999997E-2</v>
      </c>
      <c r="G167" s="60">
        <v>-784.39499999999998</v>
      </c>
      <c r="H167" s="60">
        <v>5.25073377540512</v>
      </c>
      <c r="I167" s="67">
        <f>42/1000</f>
        <v>4.2000000000000003E-2</v>
      </c>
      <c r="J167" s="68">
        <f t="shared" si="65"/>
        <v>7.1565181400140964E-3</v>
      </c>
      <c r="K167" s="69">
        <f t="shared" si="66"/>
        <v>6.0000000000000053E-3</v>
      </c>
    </row>
    <row r="168" spans="1:12" s="60" customFormat="1" x14ac:dyDescent="0.3">
      <c r="B168" s="60" t="s">
        <v>35</v>
      </c>
      <c r="C168" s="60">
        <v>3337</v>
      </c>
      <c r="D168" s="60">
        <v>-789.29700000000003</v>
      </c>
      <c r="E168" s="60">
        <v>5.5137706206784998</v>
      </c>
      <c r="F168" s="67">
        <f>41/1000</f>
        <v>4.1000000000000002E-2</v>
      </c>
      <c r="G168" s="60">
        <v>-781.33799999999997</v>
      </c>
      <c r="H168" s="60">
        <v>5.3162728026797597</v>
      </c>
      <c r="I168" s="67">
        <f>41/1000</f>
        <v>4.1000000000000002E-2</v>
      </c>
      <c r="J168" s="68">
        <f t="shared" si="65"/>
        <v>1.0083656722374544E-2</v>
      </c>
      <c r="K168" s="69">
        <f t="shared" si="66"/>
        <v>0</v>
      </c>
    </row>
    <row r="169" spans="1:12" s="60" customFormat="1" x14ac:dyDescent="0.3">
      <c r="C169" s="60" t="s">
        <v>11</v>
      </c>
      <c r="D169" s="60">
        <f t="shared" ref="D169:I169" si="67">AVERAGE(D166:D168)</f>
        <v>-794.25133333333326</v>
      </c>
      <c r="E169" s="60">
        <f t="shared" si="67"/>
        <v>5.9525157325471936</v>
      </c>
      <c r="F169" s="67">
        <f t="shared" si="67"/>
        <v>3.9333333333333331E-2</v>
      </c>
      <c r="G169" s="60">
        <f t="shared" si="67"/>
        <v>-783.25300000000004</v>
      </c>
      <c r="H169" s="60">
        <f t="shared" si="67"/>
        <v>5.3160139582781527</v>
      </c>
      <c r="I169" s="67">
        <f t="shared" si="67"/>
        <v>4.1333333333333333E-2</v>
      </c>
      <c r="J169" s="68">
        <f t="shared" si="65"/>
        <v>1.384742193277177E-2</v>
      </c>
      <c r="K169" s="69">
        <f t="shared" si="66"/>
        <v>2.0000000000000018E-3</v>
      </c>
    </row>
    <row r="170" spans="1:12" s="60" customFormat="1" x14ac:dyDescent="0.3">
      <c r="C170" s="60">
        <v>1337</v>
      </c>
      <c r="D170" s="60">
        <v>-755.60699999999997</v>
      </c>
      <c r="E170" s="60">
        <v>5.1033089572661803</v>
      </c>
      <c r="F170" s="67">
        <f>35/1000</f>
        <v>3.5000000000000003E-2</v>
      </c>
      <c r="G170" s="60">
        <v>-786.97799999999995</v>
      </c>
      <c r="H170" s="60">
        <v>5.3241143591877904</v>
      </c>
      <c r="I170" s="67">
        <f>40/1000</f>
        <v>0.04</v>
      </c>
      <c r="J170" s="68">
        <f t="shared" si="65"/>
        <v>-4.1517614315378211E-2</v>
      </c>
      <c r="K170" s="69">
        <f t="shared" si="66"/>
        <v>4.9999999999999975E-3</v>
      </c>
      <c r="L170" s="60" t="s">
        <v>49</v>
      </c>
    </row>
    <row r="171" spans="1:12" s="60" customFormat="1" x14ac:dyDescent="0.3">
      <c r="C171" s="60">
        <v>2337</v>
      </c>
      <c r="D171" s="60">
        <v>-739.39499999999998</v>
      </c>
      <c r="E171" s="60">
        <v>5.9154734215277101</v>
      </c>
      <c r="F171" s="67">
        <f>29/1000</f>
        <v>2.9000000000000001E-2</v>
      </c>
      <c r="G171" s="60">
        <v>-801.46600000000001</v>
      </c>
      <c r="H171" s="60">
        <v>5.8823072329131501</v>
      </c>
      <c r="I171" s="67">
        <f>36/1000</f>
        <v>3.5999999999999997E-2</v>
      </c>
      <c r="J171" s="68">
        <f t="shared" si="65"/>
        <v>-8.394836318882333E-2</v>
      </c>
      <c r="K171" s="69">
        <f t="shared" si="66"/>
        <v>6.9999999999999958E-3</v>
      </c>
    </row>
    <row r="172" spans="1:12" s="60" customFormat="1" x14ac:dyDescent="0.3">
      <c r="C172" s="60">
        <v>3337</v>
      </c>
      <c r="D172" s="60">
        <v>-751.58500000000004</v>
      </c>
      <c r="E172" s="60">
        <v>5.20645445028984</v>
      </c>
      <c r="F172" s="67">
        <f>34/1000</f>
        <v>3.4000000000000002E-2</v>
      </c>
      <c r="G172" s="60">
        <v>-791.70100000000002</v>
      </c>
      <c r="H172" s="60">
        <v>5.8300359276695604</v>
      </c>
      <c r="I172" s="67">
        <f>35/1000</f>
        <v>3.5000000000000003E-2</v>
      </c>
      <c r="J172" s="68">
        <f t="shared" si="65"/>
        <v>-5.3375200409800601E-2</v>
      </c>
      <c r="K172" s="69">
        <f t="shared" si="66"/>
        <v>1.0000000000000009E-3</v>
      </c>
    </row>
    <row r="173" spans="1:12" s="60" customFormat="1" x14ac:dyDescent="0.3">
      <c r="C173" s="60" t="s">
        <v>11</v>
      </c>
      <c r="D173" s="60">
        <f t="shared" ref="D173" si="68">AVERAGE(D170:D172)</f>
        <v>-748.86233333333337</v>
      </c>
      <c r="E173" s="60">
        <f t="shared" ref="E173" si="69">AVERAGE(E170:E172)</f>
        <v>5.4084122763612434</v>
      </c>
      <c r="F173" s="67">
        <f t="shared" ref="F173" si="70">AVERAGE(F170:F172)</f>
        <v>3.266666666666667E-2</v>
      </c>
      <c r="G173" s="60">
        <f t="shared" ref="G173" si="71">AVERAGE(G170:G172)</f>
        <v>-793.38166666666666</v>
      </c>
      <c r="H173" s="60">
        <f t="shared" ref="H173" si="72">AVERAGE(H170:H172)</f>
        <v>5.6788191732568336</v>
      </c>
      <c r="I173" s="67">
        <f t="shared" ref="I173" si="73">AVERAGE(I170:I172)</f>
        <v>3.6999999999999998E-2</v>
      </c>
      <c r="J173" s="68">
        <f t="shared" si="65"/>
        <v>-5.9449289077164548E-2</v>
      </c>
      <c r="K173" s="69">
        <f t="shared" si="66"/>
        <v>4.3333333333333279E-3</v>
      </c>
    </row>
    <row r="174" spans="1:12" s="60" customFormat="1" x14ac:dyDescent="0.3">
      <c r="C174" s="60">
        <v>1337</v>
      </c>
      <c r="F174" s="67"/>
      <c r="G174" s="60">
        <v>-1109.5150000000001</v>
      </c>
      <c r="H174" s="60">
        <v>9.8868661312317201</v>
      </c>
      <c r="I174" s="67">
        <f>999/1000</f>
        <v>0.999</v>
      </c>
      <c r="J174" s="68"/>
      <c r="K174" s="69"/>
      <c r="L174" s="60" t="s">
        <v>43</v>
      </c>
    </row>
    <row r="175" spans="1:12" s="60" customFormat="1" x14ac:dyDescent="0.3">
      <c r="C175" s="60">
        <v>2337</v>
      </c>
      <c r="F175" s="67"/>
      <c r="G175" s="60">
        <v>-791.88</v>
      </c>
      <c r="H175" s="60">
        <v>6.0806552252177504</v>
      </c>
      <c r="I175" s="67">
        <f>42/1000</f>
        <v>4.2000000000000003E-2</v>
      </c>
      <c r="J175" s="68"/>
      <c r="K175" s="69"/>
    </row>
    <row r="176" spans="1:12" s="60" customFormat="1" x14ac:dyDescent="0.3">
      <c r="C176" s="60">
        <v>3337</v>
      </c>
      <c r="F176" s="67"/>
      <c r="G176" s="60">
        <v>-794.36099999999999</v>
      </c>
      <c r="H176" s="60">
        <v>5.4046671596043803</v>
      </c>
      <c r="I176" s="67">
        <f>58/1000</f>
        <v>5.8000000000000003E-2</v>
      </c>
      <c r="J176" s="68"/>
      <c r="K176" s="69"/>
    </row>
    <row r="177" spans="3:12" s="60" customFormat="1" x14ac:dyDescent="0.3">
      <c r="C177" s="60" t="s">
        <v>11</v>
      </c>
      <c r="F177" s="67"/>
      <c r="G177" s="60">
        <f t="shared" ref="G177:I177" si="74">AVERAGE(G174:G176)</f>
        <v>-898.58533333333332</v>
      </c>
      <c r="H177" s="60">
        <f t="shared" si="74"/>
        <v>7.1240628386846163</v>
      </c>
      <c r="I177" s="67">
        <f t="shared" si="74"/>
        <v>0.36633333333333334</v>
      </c>
      <c r="J177" s="68"/>
      <c r="K177" s="69"/>
    </row>
    <row r="178" spans="3:12" s="60" customFormat="1" x14ac:dyDescent="0.3">
      <c r="C178" s="60">
        <v>1337</v>
      </c>
      <c r="F178" s="67"/>
      <c r="G178" s="60">
        <v>-2691.1550000000002</v>
      </c>
      <c r="H178" s="60">
        <v>1.84513617451463</v>
      </c>
      <c r="I178" s="67">
        <f>315/1000</f>
        <v>0.315</v>
      </c>
      <c r="J178" s="68"/>
      <c r="K178" s="69"/>
      <c r="L178" s="60" t="s">
        <v>50</v>
      </c>
    </row>
    <row r="179" spans="3:12" s="60" customFormat="1" x14ac:dyDescent="0.3">
      <c r="C179" s="60">
        <v>2337</v>
      </c>
      <c r="F179" s="67"/>
      <c r="G179" s="60">
        <v>-797.13</v>
      </c>
      <c r="H179" s="60">
        <v>5.9917077416761302</v>
      </c>
      <c r="I179" s="67">
        <f>40/1000</f>
        <v>0.04</v>
      </c>
      <c r="J179" s="68"/>
      <c r="K179" s="69"/>
    </row>
    <row r="180" spans="3:12" s="60" customFormat="1" x14ac:dyDescent="0.3">
      <c r="C180" s="60">
        <v>3337</v>
      </c>
      <c r="F180" s="67"/>
      <c r="G180" s="60">
        <v>-808.86800000000005</v>
      </c>
      <c r="H180" s="60">
        <v>6.7867072997125701</v>
      </c>
      <c r="I180" s="67">
        <f>39/1000</f>
        <v>3.9E-2</v>
      </c>
      <c r="J180" s="68"/>
      <c r="K180" s="69"/>
    </row>
    <row r="181" spans="3:12" x14ac:dyDescent="0.3">
      <c r="C181" s="60" t="s">
        <v>11</v>
      </c>
      <c r="D181" s="60"/>
      <c r="E181" s="60"/>
      <c r="F181" s="67"/>
      <c r="G181" s="60">
        <f t="shared" ref="G181" si="75">AVERAGE(G178:G180)</f>
        <v>-1432.3843333333334</v>
      </c>
      <c r="H181" s="60">
        <f t="shared" ref="H181" si="76">AVERAGE(H178:H180)</f>
        <v>4.8745170719677766</v>
      </c>
      <c r="I181" s="67">
        <f t="shared" ref="I181" si="77">AVERAGE(I178:I180)</f>
        <v>0.13133333333333333</v>
      </c>
      <c r="J181" s="68"/>
      <c r="K181" s="69"/>
    </row>
    <row r="182" spans="3:12" s="60" customFormat="1" x14ac:dyDescent="0.3">
      <c r="C182" s="60">
        <v>1337</v>
      </c>
      <c r="E182" s="60" t="s">
        <v>63</v>
      </c>
      <c r="L182" s="60" t="s">
        <v>60</v>
      </c>
    </row>
    <row r="183" spans="3:12" s="60" customFormat="1" x14ac:dyDescent="0.3">
      <c r="C183" s="60">
        <v>2337</v>
      </c>
    </row>
    <row r="184" spans="3:12" s="60" customFormat="1" x14ac:dyDescent="0.3">
      <c r="C184" s="60">
        <v>3337</v>
      </c>
    </row>
    <row r="185" spans="3:12" s="60" customFormat="1" x14ac:dyDescent="0.3">
      <c r="C185" s="60" t="s">
        <v>11</v>
      </c>
    </row>
    <row r="186" spans="3:12" s="60" customFormat="1" x14ac:dyDescent="0.3">
      <c r="C186" s="60">
        <v>1337</v>
      </c>
      <c r="G186" s="60">
        <v>-1055.1220000000001</v>
      </c>
      <c r="H186" s="60">
        <v>6.1577955115090903</v>
      </c>
      <c r="I186" s="60">
        <f>8/1000</f>
        <v>8.0000000000000002E-3</v>
      </c>
      <c r="L186" s="60" t="s">
        <v>61</v>
      </c>
    </row>
    <row r="187" spans="3:12" s="60" customFormat="1" x14ac:dyDescent="0.3">
      <c r="C187" s="60">
        <v>2337</v>
      </c>
      <c r="G187" s="60">
        <v>-795.87800000000004</v>
      </c>
      <c r="H187" s="60">
        <v>6.2128639768463296</v>
      </c>
      <c r="I187" s="60">
        <f>26/1000</f>
        <v>2.5999999999999999E-2</v>
      </c>
    </row>
    <row r="188" spans="3:12" s="60" customFormat="1" x14ac:dyDescent="0.3">
      <c r="C188" s="60">
        <v>3337</v>
      </c>
      <c r="G188" s="60">
        <v>-803.54499999999996</v>
      </c>
      <c r="H188" s="60">
        <v>6.2718113486131397</v>
      </c>
      <c r="I188" s="60">
        <f>39/1000</f>
        <v>3.9E-2</v>
      </c>
    </row>
    <row r="189" spans="3:12" x14ac:dyDescent="0.3">
      <c r="C189" s="60" t="s">
        <v>11</v>
      </c>
      <c r="G189" s="60">
        <f t="shared" ref="G189" si="78">AVERAGE(G186:G188)</f>
        <v>-884.84833333333336</v>
      </c>
      <c r="H189" s="60">
        <f t="shared" ref="H189" si="79">AVERAGE(H186:H188)</f>
        <v>6.2141569456561863</v>
      </c>
      <c r="I189" s="67">
        <f t="shared" ref="I189" si="80">AVERAGE(I186:I188)</f>
        <v>2.4333333333333335E-2</v>
      </c>
    </row>
    <row r="190" spans="3:12" x14ac:dyDescent="0.3">
      <c r="C190" s="60">
        <v>1337</v>
      </c>
      <c r="L190" t="s">
        <v>64</v>
      </c>
    </row>
    <row r="191" spans="3:12" x14ac:dyDescent="0.3">
      <c r="C191" s="60">
        <v>2337</v>
      </c>
    </row>
    <row r="192" spans="3:12" x14ac:dyDescent="0.3">
      <c r="C192" s="60">
        <v>3337</v>
      </c>
    </row>
    <row r="193" spans="3:12" x14ac:dyDescent="0.3">
      <c r="C193" s="60" t="s">
        <v>11</v>
      </c>
    </row>
    <row r="194" spans="3:12" x14ac:dyDescent="0.3">
      <c r="C194" s="60">
        <v>1337</v>
      </c>
      <c r="L194" t="s">
        <v>65</v>
      </c>
    </row>
    <row r="195" spans="3:12" x14ac:dyDescent="0.3">
      <c r="C195" s="60">
        <v>2337</v>
      </c>
    </row>
    <row r="196" spans="3:12" x14ac:dyDescent="0.3">
      <c r="C196" s="60">
        <v>3337</v>
      </c>
    </row>
    <row r="197" spans="3:12" x14ac:dyDescent="0.3">
      <c r="C197" s="60" t="s">
        <v>11</v>
      </c>
    </row>
  </sheetData>
  <mergeCells count="3">
    <mergeCell ref="D3:F3"/>
    <mergeCell ref="G3:I3"/>
    <mergeCell ref="J3:K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gardener</vt:lpstr>
      <vt:lpstr>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DAVID LOPEZ MIGUEL</dc:creator>
  <cp:lastModifiedBy>IGNACIO DAVID LOPEZ MIGUEL</cp:lastModifiedBy>
  <dcterms:created xsi:type="dcterms:W3CDTF">2025-04-27T18:20:46Z</dcterms:created>
  <dcterms:modified xsi:type="dcterms:W3CDTF">2025-05-06T20:53:07Z</dcterms:modified>
</cp:coreProperties>
</file>